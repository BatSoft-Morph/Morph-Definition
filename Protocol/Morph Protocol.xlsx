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vmlDrawing1.vml" ContentType="application/vnd.openxmlformats-officedocument.vmlDrawing"/>
  <Override PartName="/xl/comments4.xml" ContentType="application/vnd.openxmlformats-officedocument.spreadsheetml.comment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Connection" sheetId="1" state="visible" r:id="rId3"/>
    <sheet name="LinkType" sheetId="2" state="visible" r:id="rId4"/>
    <sheet name="LinkType Data" sheetId="3" state="visible" r:id="rId5"/>
    <sheet name="ValueType" sheetId="4" state="visible" r:id="rId6"/>
    <sheet name="SimpleType" sheetId="5" state="visible" r:id="rId7"/>
    <sheet name="LinkSequence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Author</author>
  </authors>
  <commentList>
    <comment ref="L6" authorId="0">
      <text>
        <r>
          <rPr>
            <sz val="10"/>
            <rFont val="Arial"/>
            <family val="2"/>
          </rPr>
          <t xml:space="preserve">Note:
</t>
        </r>
        <r>
          <rPr>
            <sz val="9"/>
            <rFont val="Tahoma"/>
            <family val="0"/>
            <charset val="134"/>
          </rPr>
          <t xml:space="preserve">ReferenceID can be ServletID or StreamID.</t>
        </r>
      </text>
    </comment>
    <comment ref="L15" authorId="0">
      <text>
        <r>
          <rPr>
            <sz val="10"/>
            <rFont val="Arial"/>
            <family val="2"/>
          </rPr>
          <t xml:space="preserve">Note:
</t>
        </r>
        <r>
          <rPr>
            <sz val="9"/>
            <rFont val="Tahoma"/>
            <family val="0"/>
            <charset val="134"/>
          </rPr>
          <t xml:space="preserve">If the servet represents an array, and we're specifying an element in that array, then this value specifies the array, and the following value represent the index.</t>
        </r>
      </text>
    </comment>
    <comment ref="M13" authorId="0">
      <text>
        <r>
          <rPr>
            <sz val="10"/>
            <rFont val="Arial"/>
            <family val="2"/>
          </rPr>
          <t xml:space="preserve">This consists if Morph links.</t>
        </r>
      </text>
    </comment>
    <comment ref="M14" authorId="0">
      <text>
        <r>
          <rPr>
            <sz val="10"/>
            <rFont val="Arial"/>
            <family val="2"/>
          </rPr>
          <t xml:space="preserve">This consists if Morph links.</t>
        </r>
      </text>
    </comment>
    <comment ref="M15" authorId="0">
      <text>
        <r>
          <rPr>
            <sz val="10"/>
            <rFont val="Arial"/>
            <family val="2"/>
          </rPr>
          <t xml:space="preserve">This consists of a value (starting with a ValueType).</t>
        </r>
      </text>
    </comment>
  </commentList>
</comments>
</file>

<file path=xl/sharedStrings.xml><?xml version="1.0" encoding="utf-8"?>
<sst xmlns="http://schemas.openxmlformats.org/spreadsheetml/2006/main" count="612" uniqueCount="337">
  <si>
    <t xml:space="preserve">Field</t>
  </si>
  <si>
    <t xml:space="preserve">Value</t>
  </si>
  <si>
    <t xml:space="preserve">Bytes</t>
  </si>
  <si>
    <t xml:space="preserve">Comment</t>
  </si>
  <si>
    <t xml:space="preserve">Protocol name</t>
  </si>
  <si>
    <t xml:space="preserve">"Morph"#0</t>
  </si>
  <si>
    <t xml:space="preserve">ASCII</t>
  </si>
  <si>
    <t xml:space="preserve">Version: Major</t>
  </si>
  <si>
    <t xml:space="preserve">Clearly incompatible versions must have different Major version numbers.</t>
  </si>
  <si>
    <t xml:space="preserve">Version: Minor</t>
  </si>
  <si>
    <t xml:space="preserve">Possibly compatible differences must have different Minor version numbers.</t>
  </si>
  <si>
    <t xml:space="preserve">This amounts to the following set of bytes:</t>
  </si>
  <si>
    <t xml:space="preserve">0x4D, 0x6F, 0x72, 0x70, 0x68, 0x00, 0x01, 0x01</t>
  </si>
  <si>
    <r>
      <rPr>
        <b val="true"/>
        <sz val="11"/>
        <color rgb="FF000000"/>
        <rFont val="Calibri"/>
        <family val="0"/>
        <charset val="1"/>
      </rPr>
      <t xml:space="preserve">Note:</t>
    </r>
    <r>
      <rPr>
        <sz val="11"/>
        <color rgb="FF000000"/>
        <rFont val="Calibri"/>
        <family val="0"/>
        <charset val="1"/>
      </rPr>
      <t xml:space="preserve"> Upon connection, this is sent as the first bytes, both ways, and must be validated on both sides </t>
    </r>
    <r>
      <rPr>
        <b val="true"/>
        <sz val="11"/>
        <color rgb="FF000000"/>
        <rFont val="Calibri"/>
        <family val="0"/>
        <charset val="1"/>
      </rPr>
      <t xml:space="preserve">before any</t>
    </r>
    <r>
      <rPr>
        <sz val="11"/>
        <color rgb="FF000000"/>
        <rFont val="Calibri"/>
        <family val="0"/>
        <charset val="1"/>
      </rPr>
      <t xml:space="preserve"> other incoming data is accepted.  If validation fails, then the connection is closed immediately.</t>
    </r>
  </si>
  <si>
    <t xml:space="preserve">Connection port (unecrypted)</t>
  </si>
  <si>
    <t xml:space="preserve">Decimal:</t>
  </si>
  <si>
    <t xml:space="preserve">Hexadecimal:</t>
  </si>
  <si>
    <t xml:space="preserve">$E000</t>
  </si>
  <si>
    <t xml:space="preserve">Connection port (encrypted)</t>
  </si>
  <si>
    <t xml:space="preserve">$E055</t>
  </si>
  <si>
    <t xml:space="preserve">Proper Morph implementations will use a daemon that listens for incoming connections on port $E000.</t>
  </si>
  <si>
    <t xml:space="preserve">A Morph daemon will relay all Morph packets, subject to system administrator permissions, such as enforcing the use of encryption and validation when deemed neccessary</t>
  </si>
  <si>
    <t xml:space="preserve">Using a Morph daemon should enable central control over permissions for Morph services on a device and possibly over a network.</t>
  </si>
  <si>
    <t xml:space="preserve">Non-standard implementations may listen on other ports or have only outgoing connections, though that is not considered "clean" and should be avoided.</t>
  </si>
  <si>
    <t xml:space="preserve">By not using a Morph daemon, messages miss out on the central management and security that a Morph daemon can provide.</t>
  </si>
  <si>
    <t xml:space="preserve">Expect both incoming and outgoing messages to be blocked by a firewall when not using a Morph daemon.</t>
  </si>
  <si>
    <t xml:space="preserve">String types:</t>
  </si>
  <si>
    <t xml:space="preserve">Identifier:</t>
  </si>
  <si>
    <t xml:space="preserve">2 bytes for string length (in bytes) followed by bytes for string encoded in UTF-8.</t>
  </si>
  <si>
    <t xml:space="preserve">String: </t>
  </si>
  <si>
    <t xml:space="preserve">4 bytes for string length (in bytes) followed by bytes for string encoded in UTF-8.</t>
  </si>
  <si>
    <t xml:space="preserve">MSB</t>
  </si>
  <si>
    <t xml:space="preserve">Flags</t>
  </si>
  <si>
    <t xml:space="preserve">Link type</t>
  </si>
  <si>
    <t xml:space="preserve">LinkType</t>
  </si>
  <si>
    <t xml:space="preserve">Condition</t>
  </si>
  <si>
    <t xml:space="preserve">Flag</t>
  </si>
  <si>
    <t xml:space="preserve">Size</t>
  </si>
  <si>
    <t xml:space="preserve">Links that follow (based on standard Morph topology)</t>
  </si>
  <si>
    <t xml:space="preserve">Design</t>
  </si>
  <si>
    <t xml:space="preserve">C#</t>
  </si>
  <si>
    <t xml:space="preserve">Dec</t>
  </si>
  <si>
    <t xml:space="preserve">Hex</t>
  </si>
  <si>
    <t xml:space="preserve">Min</t>
  </si>
  <si>
    <t xml:space="preserve">Max</t>
  </si>
  <si>
    <t xml:space="preserve">End</t>
  </si>
  <si>
    <t xml:space="preserve">None</t>
  </si>
  <si>
    <t xml:space="preserve">m</t>
  </si>
  <si>
    <t xml:space="preserve">Message</t>
  </si>
  <si>
    <t xml:space="preserve">Any except Message</t>
  </si>
  <si>
    <t xml:space="preserve">x</t>
  </si>
  <si>
    <t xml:space="preserve">HasCallNumber</t>
  </si>
  <si>
    <t xml:space="preserve">CallNumber</t>
  </si>
  <si>
    <t xml:space="preserve">IsForceful</t>
  </si>
  <si>
    <t xml:space="preserve">ToPathSize</t>
  </si>
  <si>
    <t xml:space="preserve">HasFromPath</t>
  </si>
  <si>
    <t xml:space="preserve">FromPathSize</t>
  </si>
  <si>
    <t xml:space="preserve">ToPath</t>
  </si>
  <si>
    <t xml:space="preserve">HasPathFrom</t>
  </si>
  <si>
    <t xml:space="preserve">FromPath</t>
  </si>
  <si>
    <t xml:space="preserve">Data</t>
  </si>
  <si>
    <t xml:space="preserve">9 + 2 GB</t>
  </si>
  <si>
    <t xml:space="preserve">Information</t>
  </si>
  <si>
    <t xml:space="preserve">?</t>
  </si>
  <si>
    <t xml:space="preserve">Service</t>
  </si>
  <si>
    <t xml:space="preserve">1 + str</t>
  </si>
  <si>
    <t xml:space="preserve">IsService</t>
  </si>
  <si>
    <t xml:space="preserve">str</t>
  </si>
  <si>
    <t xml:space="preserve">ServiceName</t>
  </si>
  <si>
    <t xml:space="preserve">Information, Servlet, Method, Property</t>
  </si>
  <si>
    <t xml:space="preserve">IsApartment</t>
  </si>
  <si>
    <t xml:space="preserve">ApartmentID</t>
  </si>
  <si>
    <t xml:space="preserve">IsApartmentNotShared</t>
  </si>
  <si>
    <t xml:space="preserve">SessionID+P60</t>
  </si>
  <si>
    <t xml:space="preserve">IsApartmentProxy</t>
  </si>
  <si>
    <t xml:space="preserve">ApartmentProxyID</t>
  </si>
  <si>
    <t xml:space="preserve">Servlet</t>
  </si>
  <si>
    <t xml:space="preserve">Information, Member</t>
  </si>
  <si>
    <t xml:space="preserve">ServletID</t>
  </si>
  <si>
    <t xml:space="preserve">Member</t>
  </si>
  <si>
    <t xml:space="preserve">Information, Data</t>
  </si>
  <si>
    <t xml:space="preserve">IsException</t>
  </si>
  <si>
    <t xml:space="preserve">ErrorCode</t>
  </si>
  <si>
    <t xml:space="preserve">not IsException</t>
  </si>
  <si>
    <t xml:space="preserve">HasParameters</t>
  </si>
  <si>
    <t xml:space="preserve">ParameterCount</t>
  </si>
  <si>
    <t xml:space="preserve">HasSpecial</t>
  </si>
  <si>
    <t xml:space="preserve">Process</t>
  </si>
  <si>
    <t xml:space="preserve">Information, Service, Internet</t>
  </si>
  <si>
    <t xml:space="preserve">ProcessID</t>
  </si>
  <si>
    <t xml:space="preserve">Internet</t>
  </si>
  <si>
    <t xml:space="preserve">3 + str</t>
  </si>
  <si>
    <t xml:space="preserve">IPv4/IPv6</t>
  </si>
  <si>
    <t xml:space="preserve">IsString</t>
  </si>
  <si>
    <t xml:space="preserve">HostURI</t>
  </si>
  <si>
    <t xml:space="preserve">IPv4 and not IsString</t>
  </si>
  <si>
    <t xml:space="preserve">HostIPv4</t>
  </si>
  <si>
    <t xml:space="preserve">IPv6 and not IsString</t>
  </si>
  <si>
    <t xml:space="preserve">HostIPv6</t>
  </si>
  <si>
    <t xml:space="preserve">HasPort</t>
  </si>
  <si>
    <t xml:space="preserve">Port</t>
  </si>
  <si>
    <t xml:space="preserve">Sequence</t>
  </si>
  <si>
    <t xml:space="preserve">IsStart</t>
  </si>
  <si>
    <t xml:space="preserve">ToSender</t>
  </si>
  <si>
    <t xml:space="preserve">not IsStart or not ToSender</t>
  </si>
  <si>
    <t xml:space="preserve">IsLast</t>
  </si>
  <si>
    <t xml:space="preserve">not IsStart or ToSender</t>
  </si>
  <si>
    <t xml:space="preserve">Resend</t>
  </si>
  <si>
    <t xml:space="preserve">IsLossless</t>
  </si>
  <si>
    <t xml:space="preserve">IsStart or not ToSender</t>
  </si>
  <si>
    <t xml:space="preserve">SequenceID</t>
  </si>
  <si>
    <t xml:space="preserve">IsStart or ToSender</t>
  </si>
  <si>
    <t xml:space="preserve">SenderID</t>
  </si>
  <si>
    <t xml:space="preserve">not IsStart</t>
  </si>
  <si>
    <t xml:space="preserve">Index</t>
  </si>
  <si>
    <t xml:space="preserve">Encoding</t>
  </si>
  <si>
    <t xml:space="preserve">Stop/Start</t>
  </si>
  <si>
    <t xml:space="preserve">Key/Data</t>
  </si>
  <si>
    <t xml:space="preserve">Request key/Supply key</t>
  </si>
  <si>
    <t xml:space="preserve">Key type</t>
  </si>
  <si>
    <t xml:space="preserve">Stream</t>
  </si>
  <si>
    <t xml:space="preserve">Handle</t>
  </si>
  <si>
    <t xml:space="preserve">Request/Supply</t>
  </si>
  <si>
    <t xml:space="preserve">Implementation</t>
  </si>
  <si>
    <t xml:space="preserve">Concept</t>
  </si>
  <si>
    <t xml:space="preserve">Not started</t>
  </si>
  <si>
    <t xml:space="preserve">Partial</t>
  </si>
  <si>
    <t xml:space="preserve">Stub</t>
  </si>
  <si>
    <t xml:space="preserve">Beta</t>
  </si>
  <si>
    <t xml:space="preserve">Partly implemented</t>
  </si>
  <si>
    <t xml:space="preserve">Complete</t>
  </si>
  <si>
    <r>
      <rPr>
        <sz val="11"/>
        <color rgb="FF000000"/>
        <rFont val="Calibri"/>
        <family val="0"/>
        <charset val="1"/>
      </rPr>
      <t xml:space="preserve">This page describes the structure of the </t>
    </r>
    <r>
      <rPr>
        <b val="true"/>
        <sz val="11"/>
        <color rgb="FF000000"/>
        <rFont val="Calibri"/>
        <family val="0"/>
        <charset val="1"/>
      </rPr>
      <t xml:space="preserve">Data</t>
    </r>
    <r>
      <rPr>
        <sz val="11"/>
        <color rgb="FF000000"/>
        <rFont val="Calibri"/>
        <family val="0"/>
        <charset val="1"/>
      </rPr>
      <t xml:space="preserve"> in a </t>
    </r>
    <r>
      <rPr>
        <b val="true"/>
        <sz val="11"/>
        <color rgb="FF000000"/>
        <rFont val="Calibri"/>
        <family val="0"/>
        <charset val="1"/>
      </rPr>
      <t xml:space="preserve">LinkType: Data</t>
    </r>
    <r>
      <rPr>
        <sz val="11"/>
        <color rgb="FF000000"/>
        <rFont val="Calibri"/>
        <family val="0"/>
        <charset val="1"/>
      </rPr>
      <t xml:space="preserve"> link.</t>
    </r>
  </si>
  <si>
    <t xml:space="preserve">The context determines who the data in a Data link is encoded.</t>
  </si>
  <si>
    <t xml:space="preserve">For example; if the Data link follow a Stream link, then this contains simply a data packet within the stream.</t>
  </si>
  <si>
    <t xml:space="preserve">If the Data link follows a Member link, then the following rules apply, and in this order:</t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</si>
  <si>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1"/>
      </rPr>
      <t xml:space="preserve">         </t>
    </r>
    <r>
      <rPr>
        <b val="true"/>
        <sz val="11"/>
        <color rgb="FF000000"/>
        <rFont val="Calibri"/>
        <family val="0"/>
        <charset val="1"/>
      </rPr>
      <t xml:space="preserve">Parameters count </t>
    </r>
    <r>
      <rPr>
        <sz val="11"/>
        <color rgb="FF000000"/>
        <rFont val="Calibri"/>
        <family val="0"/>
        <charset val="1"/>
      </rPr>
      <t xml:space="preserve">- An integer that specifies how many parameters are contained in this Data link.</t>
    </r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</si>
  <si>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1"/>
      </rPr>
      <t xml:space="preserve">         </t>
    </r>
    <r>
      <rPr>
        <sz val="11"/>
        <color rgb="FF000000"/>
        <rFont val="Calibri"/>
        <family val="0"/>
        <charset val="1"/>
      </rPr>
      <t xml:space="preserve">Parameter Count = Parameters [0-n] + Special Value [0-1]</t>
    </r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</si>
  <si>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1"/>
      </rPr>
      <t xml:space="preserve">         </t>
    </r>
    <r>
      <rPr>
        <b val="true"/>
        <sz val="11"/>
        <color rgb="FF000000"/>
        <rFont val="Calibri"/>
        <family val="0"/>
        <charset val="1"/>
      </rPr>
      <t xml:space="preserve">Parameters</t>
    </r>
    <r>
      <rPr>
        <sz val="11"/>
        <color rgb="FF000000"/>
        <rFont val="Calibri"/>
        <family val="0"/>
        <charset val="1"/>
      </rPr>
      <t xml:space="preserve"> - These should be used for:</t>
    </r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</si>
  <si>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1"/>
      </rPr>
      <t xml:space="preserve">         </t>
    </r>
    <r>
      <rPr>
        <sz val="11"/>
        <color rgb="FF000000"/>
        <rFont val="Calibri"/>
        <family val="0"/>
        <charset val="1"/>
      </rPr>
      <t xml:space="preserve">Input parameters in a method invocation.</t>
    </r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</si>
  <si>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1"/>
      </rPr>
      <t xml:space="preserve">         </t>
    </r>
    <r>
      <rPr>
        <sz val="11"/>
        <color rgb="FF000000"/>
        <rFont val="Calibri"/>
        <family val="0"/>
        <charset val="1"/>
      </rPr>
      <t xml:space="preserve">Output parameters in a method response.</t>
    </r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</si>
  <si>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1"/>
      </rPr>
      <t xml:space="preserve">         </t>
    </r>
    <r>
      <rPr>
        <sz val="11"/>
        <color rgb="FF000000"/>
        <rFont val="Calibri"/>
        <family val="0"/>
        <charset val="1"/>
      </rPr>
      <t xml:space="preserve">Property parameters when setting an array property.</t>
    </r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</si>
  <si>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1"/>
      </rPr>
      <t xml:space="preserve">         </t>
    </r>
    <r>
      <rPr>
        <b val="true"/>
        <sz val="11"/>
        <color rgb="FF000000"/>
        <rFont val="Calibri"/>
        <family val="0"/>
        <charset val="1"/>
      </rPr>
      <t xml:space="preserve">Special Value</t>
    </r>
    <r>
      <rPr>
        <sz val="11"/>
        <color rgb="FF000000"/>
        <rFont val="Calibri"/>
        <family val="0"/>
        <charset val="1"/>
      </rPr>
      <t xml:space="preserve"> - These should be used for:</t>
    </r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</si>
  <si>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1"/>
      </rPr>
      <t xml:space="preserve">         </t>
    </r>
    <r>
      <rPr>
        <sz val="11"/>
        <color rgb="FF000000"/>
        <rFont val="Calibri"/>
        <family val="0"/>
        <charset val="1"/>
      </rPr>
      <t xml:space="preserve">Exception information. (ex. exception message, stack trace...)</t>
    </r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</si>
  <si>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1"/>
      </rPr>
      <t xml:space="preserve">         </t>
    </r>
    <r>
      <rPr>
        <sz val="11"/>
        <color rgb="FF000000"/>
        <rFont val="Calibri"/>
        <family val="0"/>
        <charset val="1"/>
      </rPr>
      <t xml:space="preserve">Return value of a method invocation.</t>
    </r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</si>
  <si>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2"/>
      </rPr>
      <t xml:space="preserve">         </t>
    </r>
    <r>
      <rPr>
        <sz val="11"/>
        <color rgb="FF000000"/>
        <rFont val="Calibri"/>
        <family val="0"/>
        <charset val="2"/>
      </rPr>
      <t xml:space="preserve">Property value when getting or setting a property.</t>
    </r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</si>
  <si>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1"/>
      </rPr>
      <t xml:space="preserve">         </t>
    </r>
    <r>
      <rPr>
        <sz val="11"/>
        <color rgb="FF000000"/>
        <rFont val="Calibri"/>
        <family val="0"/>
        <charset val="1"/>
      </rPr>
      <t xml:space="preserve">The stream data in a stream message.</t>
    </r>
  </si>
  <si>
    <t xml:space="preserve">If Parameter Count = 0 then the whole Data link can be dropped. No Data link is equivalent to a Data link with Parameter Count = 0.</t>
  </si>
  <si>
    <t xml:space="preserve">There is no difference in encoding between Parameters and a Special Value.</t>
  </si>
  <si>
    <r>
      <rPr>
        <sz val="11"/>
        <color rgb="FF000000"/>
        <rFont val="Calibri"/>
        <family val="0"/>
        <charset val="1"/>
      </rPr>
      <t xml:space="preserve">Each value begins with a </t>
    </r>
    <r>
      <rPr>
        <b val="true"/>
        <sz val="11"/>
        <color rgb="FF000000"/>
        <rFont val="Calibri"/>
        <family val="0"/>
        <charset val="1"/>
      </rPr>
      <t xml:space="preserve">ValueType</t>
    </r>
    <r>
      <rPr>
        <sz val="11"/>
        <color rgb="FF000000"/>
        <rFont val="Calibri"/>
        <family val="0"/>
        <charset val="1"/>
      </rPr>
      <t xml:space="preserve"> byte.  That ValueType specifies what else needs to be read and in what order.</t>
    </r>
  </si>
  <si>
    <t xml:space="preserve">The Special Value must always be last (when there is one).</t>
  </si>
  <si>
    <t xml:space="preserve">Size (bytes)</t>
  </si>
  <si>
    <t xml:space="preserve">Type</t>
  </si>
  <si>
    <t xml:space="preserve">Comments</t>
  </si>
  <si>
    <t xml:space="preserve">HasValueName</t>
  </si>
  <si>
    <t xml:space="preserve">ValueName</t>
  </si>
  <si>
    <t xml:space="preserve">+</t>
  </si>
  <si>
    <t xml:space="preserve">String</t>
  </si>
  <si>
    <t xml:space="preserve">IsNull</t>
  </si>
  <si>
    <t xml:space="preserve">IsNull=False</t>
  </si>
  <si>
    <t xml:space="preserve">HasTypeName</t>
  </si>
  <si>
    <t xml:space="preserve">TypeName</t>
  </si>
  <si>
    <t xml:space="preserve">IsValue/IsReference</t>
  </si>
  <si>
    <t xml:space="preserve">ReferenceID</t>
  </si>
  <si>
    <t xml:space="preserve">int</t>
  </si>
  <si>
    <t xml:space="preserve">Reference</t>
  </si>
  <si>
    <t xml:space="preserve">IsReference</t>
  </si>
  <si>
    <t xml:space="preserve">IsStream/IsServlet</t>
  </si>
  <si>
    <t xml:space="preserve">IsStream</t>
  </si>
  <si>
    <t xml:space="preserve">IsServlet</t>
  </si>
  <si>
    <t xml:space="preserve">HasDevicePath</t>
  </si>
  <si>
    <t xml:space="preserve">DevicePathSize</t>
  </si>
  <si>
    <t xml:space="preserve">DevicesLength</t>
  </si>
  <si>
    <t xml:space="preserve">Number of bytes that Devices consists of.</t>
  </si>
  <si>
    <t xml:space="preserve">DevicePath</t>
  </si>
  <si>
    <t xml:space="preserve">Morph links</t>
  </si>
  <si>
    <t xml:space="preserve">HasArrayIndex</t>
  </si>
  <si>
    <t xml:space="preserve">ValueType</t>
  </si>
  <si>
    <t xml:space="preserve">IsValue</t>
  </si>
  <si>
    <t xml:space="preserve">IsSimpleType</t>
  </si>
  <si>
    <t xml:space="preserve">IsCustomType</t>
  </si>
  <si>
    <t xml:space="preserve">IsStruct</t>
  </si>
  <si>
    <t xml:space="preserve">IsArray</t>
  </si>
  <si>
    <t xml:space="preserve">Simple</t>
  </si>
  <si>
    <t xml:space="preserve">SimpleType</t>
  </si>
  <si>
    <t xml:space="preserve">See SimpleType tab.</t>
  </si>
  <si>
    <t xml:space="preserve">Custom</t>
  </si>
  <si>
    <t xml:space="preserve">CustomTypeName</t>
  </si>
  <si>
    <t xml:space="preserve">Developer's proprietary type.</t>
  </si>
  <si>
    <t xml:space="preserve">Struct</t>
  </si>
  <si>
    <t xml:space="preserve">StructElemCount</t>
  </si>
  <si>
    <r>
      <rPr>
        <sz val="11"/>
        <color theme="1"/>
        <rFont val="Calibri"/>
        <family val="0"/>
        <charset val="134"/>
      </rPr>
      <t xml:space="preserve">Number of </t>
    </r>
    <r>
      <rPr>
        <b val="true"/>
        <sz val="11"/>
        <color theme="1"/>
        <rFont val="Calibri"/>
        <family val="0"/>
        <charset val="134"/>
      </rPr>
      <t xml:space="preserve">members</t>
    </r>
    <r>
      <rPr>
        <sz val="11"/>
        <color theme="1"/>
        <rFont val="Calibri"/>
        <family val="0"/>
        <charset val="134"/>
      </rPr>
      <t xml:space="preserve"> in the structure, not number of bytes that make up the data.</t>
    </r>
  </si>
  <si>
    <t xml:space="preserve">Values</t>
  </si>
  <si>
    <t xml:space="preserve">...</t>
  </si>
  <si>
    <t xml:space="preserve">Each value begins with its own ValueType.</t>
  </si>
  <si>
    <t xml:space="preserve">Array</t>
  </si>
  <si>
    <t xml:space="preserve">ArrayElemCount</t>
  </si>
  <si>
    <r>
      <rPr>
        <sz val="11"/>
        <color theme="1"/>
        <rFont val="Calibri"/>
        <family val="0"/>
        <charset val="134"/>
      </rPr>
      <t xml:space="preserve">Number of </t>
    </r>
    <r>
      <rPr>
        <b val="true"/>
        <sz val="11"/>
        <color theme="1"/>
        <rFont val="Calibri"/>
        <family val="0"/>
        <charset val="134"/>
      </rPr>
      <t xml:space="preserve">elements</t>
    </r>
    <r>
      <rPr>
        <sz val="11"/>
        <color theme="1"/>
        <rFont val="Calibri"/>
        <family val="0"/>
        <charset val="134"/>
      </rPr>
      <t xml:space="preserve"> in the array, not number of bytes that make up the data.</t>
    </r>
  </si>
  <si>
    <t xml:space="preserve">IsArrayElemType</t>
  </si>
  <si>
    <t xml:space="preserve">ArrayElemType</t>
  </si>
  <si>
    <t xml:space="preserve">1..2</t>
  </si>
  <si>
    <t xml:space="preserve">ValueType (+SimpleType)</t>
  </si>
  <si>
    <t xml:space="preserve">Specifies the type of all elements in the array.</t>
  </si>
  <si>
    <t xml:space="preserve">Every value is of the type specified by ArrayElemType.</t>
  </si>
  <si>
    <t xml:space="preserve">not IsArrayElemType</t>
  </si>
  <si>
    <t xml:space="preserve">String: 2 bytes representing byte count of the string, followed by UTF-8 characters</t>
  </si>
  <si>
    <t xml:space="preserve">SimpleType: See tab SimpleType</t>
  </si>
  <si>
    <t xml:space="preserve">Examples</t>
  </si>
  <si>
    <t xml:space="preserve">Decimal</t>
  </si>
  <si>
    <t xml:space="preserve">Value type </t>
  </si>
  <si>
    <t xml:space="preserve">Values obtained</t>
  </si>
  <si>
    <t xml:space="preserve">(ValueName), </t>
  </si>
  <si>
    <t xml:space="preserve">(ValueName), (TypeName), ReferenceID</t>
  </si>
  <si>
    <t xml:space="preserve">(ValueName), (TypeName), ReferenceID, ApartmentID, (DevicePath), (Index)</t>
  </si>
  <si>
    <t xml:space="preserve">IsSimple</t>
  </si>
  <si>
    <t xml:space="preserve">(ValueName), (TypeName), SimpleType</t>
  </si>
  <si>
    <t xml:space="preserve">(ValueName), (TypeName), StructElemCount, Values</t>
  </si>
  <si>
    <t xml:space="preserve">(ValueName), (TypeName), (CustomTypeName), SimpleType</t>
  </si>
  <si>
    <t xml:space="preserve">(ValueName), (TypeName), ArrayElemCount, (ArrayElemType), Values</t>
  </si>
  <si>
    <t xml:space="preserve">Integer</t>
  </si>
  <si>
    <t xml:space="preserve">IsInteger</t>
  </si>
  <si>
    <t xml:space="preserve">z</t>
  </si>
  <si>
    <t xml:space="preserve">ValueSize = 2^z</t>
  </si>
  <si>
    <t xml:space="preserve">0</t>
  </si>
  <si>
    <t xml:space="preserve">s</t>
  </si>
  <si>
    <t xml:space="preserve">IsUnsigned/IsSigned</t>
  </si>
  <si>
    <t xml:space="preserve">v</t>
  </si>
  <si>
    <t xml:space="preserve">HasValue</t>
  </si>
  <si>
    <t xml:space="preserve">ValueSize</t>
  </si>
  <si>
    <t xml:space="preserve">Char</t>
  </si>
  <si>
    <t xml:space="preserve">IsCharacter</t>
  </si>
  <si>
    <t xml:space="preserve">Single character where ValueSize = 0: UTF-8, 1: UTF-16, 2: UTF-32, 3: ASCII</t>
  </si>
  <si>
    <t xml:space="preserve">Float</t>
  </si>
  <si>
    <t xml:space="preserve">IsFloat</t>
  </si>
  <si>
    <t xml:space="preserve">ValueSize = 2^(z+2)</t>
  </si>
  <si>
    <t xml:space="preserve">https://en.wikipedia.org/wiki/IEEE_754#Basic_and_interchange_formats</t>
  </si>
  <si>
    <t xml:space="preserve">4, 8, 16, 32</t>
  </si>
  <si>
    <t xml:space="preserve">binary32, binary64, binary128, binary256</t>
  </si>
  <si>
    <t xml:space="preserve">ByteCount</t>
  </si>
  <si>
    <t xml:space="preserve">4</t>
  </si>
  <si>
    <t xml:space="preserve">Byte length of string.</t>
  </si>
  <si>
    <t xml:space="preserve">0+</t>
  </si>
  <si>
    <r>
      <rPr>
        <sz val="11"/>
        <color rgb="FF000000"/>
        <rFont val="Calibri"/>
        <family val="0"/>
        <charset val="1"/>
      </rPr>
      <t xml:space="preserve">Strings are </t>
    </r>
    <r>
      <rPr>
        <b val="true"/>
        <sz val="11"/>
        <color rgb="FF000000"/>
        <rFont val="Calibri"/>
        <family val="0"/>
        <charset val="1"/>
      </rPr>
      <t xml:space="preserve">always</t>
    </r>
    <r>
      <rPr>
        <sz val="11"/>
        <color rgb="FF000000"/>
        <rFont val="Calibri"/>
        <family val="0"/>
        <charset val="1"/>
      </rPr>
      <t xml:space="preserve"> encoded in </t>
    </r>
    <r>
      <rPr>
        <b val="true"/>
        <sz val="11"/>
        <color rgb="FF000000"/>
        <rFont val="Calibri"/>
        <family val="0"/>
        <charset val="1"/>
      </rPr>
      <t xml:space="preserve">UTF-8</t>
    </r>
    <r>
      <rPr>
        <sz val="11"/>
        <color rgb="FF000000"/>
        <rFont val="Calibri"/>
        <family val="0"/>
        <charset val="1"/>
      </rPr>
      <t xml:space="preserve">.</t>
    </r>
  </si>
  <si>
    <t xml:space="preserve">Enum (Ordinal)</t>
  </si>
  <si>
    <t xml:space="preserve">IsEnum (Ordinal)</t>
  </si>
  <si>
    <t xml:space="preserve">IsEnumSet</t>
  </si>
  <si>
    <t xml:space="preserve">Enumeration sets are encoded in the Pascal/Delphi way.</t>
  </si>
  <si>
    <t xml:space="preserve">Enum type name</t>
  </si>
  <si>
    <t xml:space="preserve">1, 2, 4, 8</t>
  </si>
  <si>
    <t xml:space="preserve">Read as Integer</t>
  </si>
  <si>
    <t xml:space="preserve">Enum (String)</t>
  </si>
  <si>
    <t xml:space="preserve">IsEnum (String)</t>
  </si>
  <si>
    <t xml:space="preserve">Values are comma delimited, without spaces. Ending comma is ignored.</t>
  </si>
  <si>
    <t xml:space="preserve">4+</t>
  </si>
  <si>
    <t xml:space="preserve">Date/Time (numeric)</t>
  </si>
  <si>
    <t xml:space="preserve">IsWhen (Numeric)</t>
  </si>
  <si>
    <t xml:space="preserve">Under construction. Do not use.</t>
  </si>
  <si>
    <t xml:space="preserve">IsTimeSpan</t>
  </si>
  <si>
    <t xml:space="preserve">IsTime</t>
  </si>
  <si>
    <t xml:space="preserve">IsDate</t>
  </si>
  <si>
    <t xml:space="preserve">IsDateTime</t>
  </si>
  <si>
    <t xml:space="preserve">L</t>
  </si>
  <si>
    <t xml:space="preserve">IsUTC/IsLocal</t>
  </si>
  <si>
    <t xml:space="preserve">IsLocal implies the time refers to the local timezone, whatever that may currently be.</t>
  </si>
  <si>
    <t xml:space="preserve">4?</t>
  </si>
  <si>
    <t xml:space="preserve">Read as Float</t>
  </si>
  <si>
    <t xml:space="preserve">Date/Time (string)</t>
  </si>
  <si>
    <t xml:space="preserve">IsWhen (String)</t>
  </si>
  <si>
    <t xml:space="preserve">IsDuration</t>
  </si>
  <si>
    <t xml:space="preserve">https://en.wikipedia.org/wiki/ISO_8601#Durations</t>
  </si>
  <si>
    <t xml:space="preserve">http://www.w3.org/TR/xmlschema-2/#time</t>
  </si>
  <si>
    <t xml:space="preserve">http://www.w3.org/TR/xmlschema-2/#date</t>
  </si>
  <si>
    <t xml:space="preserve">http://www.w3.org/TR/xmlschema-2/#dateTime</t>
  </si>
  <si>
    <r>
      <rPr>
        <b val="true"/>
        <sz val="11"/>
        <color rgb="FF000000"/>
        <rFont val="Calibri"/>
        <family val="0"/>
        <charset val="1"/>
      </rPr>
      <t xml:space="preserve">Instant</t>
    </r>
    <r>
      <rPr>
        <sz val="11"/>
        <color rgb="FF000000"/>
        <rFont val="Calibri"/>
        <family val="0"/>
        <charset val="1"/>
      </rPr>
      <t xml:space="preserve"> is always represented by a date/time in UTC.</t>
    </r>
  </si>
  <si>
    <r>
      <rPr>
        <b val="true"/>
        <sz val="11"/>
        <color rgb="FF000000"/>
        <rFont val="Calibri"/>
        <family val="0"/>
        <charset val="1"/>
      </rPr>
      <t xml:space="preserve">Local time</t>
    </r>
    <r>
      <rPr>
        <sz val="11"/>
        <color rgb="FF000000"/>
        <rFont val="Calibri"/>
        <family val="0"/>
        <charset val="1"/>
      </rPr>
      <t xml:space="preserve"> is always represented by a date/time without "Z".</t>
    </r>
  </si>
  <si>
    <r>
      <rPr>
        <b val="true"/>
        <sz val="11"/>
        <color rgb="FF000000"/>
        <rFont val="Calibri"/>
        <family val="0"/>
        <charset val="1"/>
      </rPr>
      <t xml:space="preserve">Time zone</t>
    </r>
    <r>
      <rPr>
        <sz val="11"/>
        <color rgb="FF000000"/>
        <rFont val="Calibri"/>
        <family val="0"/>
        <charset val="1"/>
      </rPr>
      <t xml:space="preserve"> offsets are </t>
    </r>
    <r>
      <rPr>
        <b val="true"/>
        <sz val="11"/>
        <color rgb="FF000000"/>
        <rFont val="Calibri"/>
        <family val="0"/>
        <charset val="1"/>
      </rPr>
      <t xml:space="preserve">not</t>
    </r>
    <r>
      <rPr>
        <sz val="11"/>
        <color rgb="FF000000"/>
        <rFont val="Calibri"/>
        <family val="0"/>
        <charset val="1"/>
      </rPr>
      <t xml:space="preserve"> supported, for the sake of simple Morph implementations.</t>
    </r>
  </si>
  <si>
    <t xml:space="preserve">StringLength</t>
  </si>
  <si>
    <t xml:space="preserve">1</t>
  </si>
  <si>
    <t xml:space="preserve">Currency</t>
  </si>
  <si>
    <t xml:space="preserve">IsCurrency</t>
  </si>
  <si>
    <t xml:space="preserve">8</t>
  </si>
  <si>
    <t xml:space="preserve">https://learn.microsoft.com/en-us/office/vba/language/reference/user-interface-help/currency-data-type</t>
  </si>
  <si>
    <t xml:space="preserve">Boolean</t>
  </si>
  <si>
    <t xml:space="preserve">IsBool</t>
  </si>
  <si>
    <t xml:space="preserve">IsFalse</t>
  </si>
  <si>
    <t xml:space="preserve">Boolean value False</t>
  </si>
  <si>
    <t xml:space="preserve">IsTrue</t>
  </si>
  <si>
    <t xml:space="preserve">Boolean value True</t>
  </si>
  <si>
    <t xml:space="preserve">Int8</t>
  </si>
  <si>
    <t xml:space="preserve">Int16</t>
  </si>
  <si>
    <t xml:space="preserve">Int32</t>
  </si>
  <si>
    <t xml:space="preserve">Int64</t>
  </si>
  <si>
    <t xml:space="preserve">Char (UTF-8)</t>
  </si>
  <si>
    <t xml:space="preserve">Char (UTF-16)</t>
  </si>
  <si>
    <t xml:space="preserve">Char (ASCII)</t>
  </si>
  <si>
    <t xml:space="preserve">String (Unicode)</t>
  </si>
  <si>
    <t xml:space="preserve">Reasonable enum</t>
  </si>
  <si>
    <t xml:space="preserve">An enumerated value in ordinal (numeric) form.</t>
  </si>
  <si>
    <t xml:space="preserve">Set (small enum)</t>
  </si>
  <si>
    <t xml:space="preserve">A set of an enumerated type with a maximum of 8 values.</t>
  </si>
  <si>
    <t xml:space="preserve">Set (medium enum)</t>
  </si>
  <si>
    <t xml:space="preserve">A set of an enumerated type with a maximum of 16 values.</t>
  </si>
  <si>
    <t xml:space="preserve">Enum as string</t>
  </si>
  <si>
    <t xml:space="preserve">An enumerated value in string form.</t>
  </si>
  <si>
    <t xml:space="preserve">Enum set as string</t>
  </si>
  <si>
    <t xml:space="preserve">A set of an enumerated type.</t>
  </si>
  <si>
    <t xml:space="preserve">UTC time (numeric)</t>
  </si>
  <si>
    <t xml:space="preserve">Local time (numeric)</t>
  </si>
  <si>
    <t xml:space="preserve">UTC date/time (string)</t>
  </si>
  <si>
    <t xml:space="preserve">Local date/time (string)</t>
  </si>
  <si>
    <t xml:space="preserve">Boolean False</t>
  </si>
  <si>
    <t xml:space="preserve">Boolean True</t>
  </si>
  <si>
    <r>
      <rPr>
        <b val="true"/>
        <sz val="11"/>
        <color rgb="FF000000"/>
        <rFont val="Calibri"/>
        <family val="0"/>
        <charset val="1"/>
      </rPr>
      <t xml:space="preserve">Note:</t>
    </r>
    <r>
      <rPr>
        <sz val="11"/>
        <color rgb="FF000000"/>
        <rFont val="Calibri"/>
        <family val="0"/>
        <charset val="1"/>
      </rPr>
      <t xml:space="preserve"> Unused bits must be set to 0, to avoid ambiguity and confusion.</t>
    </r>
  </si>
  <si>
    <r>
      <rPr>
        <b val="true"/>
        <sz val="11"/>
        <color rgb="FF000000"/>
        <rFont val="Calibri"/>
        <family val="0"/>
        <charset val="1"/>
      </rPr>
      <t xml:space="preserve">Note:</t>
    </r>
    <r>
      <rPr>
        <sz val="11"/>
        <color rgb="FF000000"/>
        <rFont val="Calibri"/>
        <family val="0"/>
        <charset val="1"/>
      </rPr>
      <t xml:space="preserve"> It is not expected that all platforms support all data-types.</t>
    </r>
  </si>
  <si>
    <t xml:space="preserve">y</t>
  </si>
  <si>
    <t xml:space="preserve">Step</t>
  </si>
  <si>
    <t xml:space="preserve">Classification</t>
  </si>
  <si>
    <t xml:space="preserve">b</t>
  </si>
  <si>
    <t xml:space="preserve">-</t>
  </si>
  <si>
    <t xml:space="preserve">i</t>
  </si>
  <si>
    <t xml:space="preserve">Next</t>
  </si>
  <si>
    <t xml:space="preserve">Index - Send</t>
  </si>
  <si>
    <t xml:space="preserve">LinkSequenceIndexSend</t>
  </si>
  <si>
    <t xml:space="preserve">n</t>
  </si>
  <si>
    <t xml:space="preserve">a</t>
  </si>
  <si>
    <t xml:space="preserve">Start</t>
  </si>
  <si>
    <t xml:space="preserve">Request</t>
  </si>
  <si>
    <t xml:space="preserve">Lossless</t>
  </si>
  <si>
    <t xml:space="preserve">Start - Send</t>
  </si>
  <si>
    <t xml:space="preserve">LinkSequenceStartSend</t>
  </si>
  <si>
    <t xml:space="preserve">Lossy</t>
  </si>
  <si>
    <t xml:space="preserve">Confirm</t>
  </si>
  <si>
    <t xml:space="preserve">Ack</t>
  </si>
  <si>
    <t xml:space="preserve">Index - Reply</t>
  </si>
  <si>
    <t xml:space="preserve">LinkSequenceIndexReply</t>
  </si>
  <si>
    <t xml:space="preserve">Demand</t>
  </si>
  <si>
    <t xml:space="preserve">Start - Reply</t>
  </si>
  <si>
    <t xml:space="preserve">LinkSequenceStartReply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</si>
</sst>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\$#,##0;[RED]&quot;-$&quot;#,##0"/>
  </numFmts>
  <fonts count="18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u val="single"/>
      <sz val="11"/>
      <color theme="1"/>
      <name val="Calibri"/>
      <family val="0"/>
      <charset val="1"/>
    </font>
    <font>
      <b val="true"/>
      <sz val="11"/>
      <color rgb="FF000000"/>
      <name val="Calibri"/>
      <family val="0"/>
      <charset val="1"/>
    </font>
    <font>
      <sz val="11"/>
      <color rgb="FF000000"/>
      <name val="Calibri"/>
      <family val="0"/>
      <charset val="1"/>
    </font>
    <font>
      <b val="true"/>
      <sz val="11"/>
      <color theme="1"/>
      <name val="Calibri"/>
      <family val="0"/>
      <charset val="1"/>
    </font>
    <font>
      <sz val="11"/>
      <color rgb="FF000000"/>
      <name val="Symbol"/>
      <family val="0"/>
      <charset val="2"/>
    </font>
    <font>
      <sz val="7"/>
      <color rgb="FF000000"/>
      <name val="Times New Roman"/>
      <family val="0"/>
      <charset val="1"/>
    </font>
    <font>
      <sz val="7"/>
      <color rgb="FF000000"/>
      <name val="Times New Roman"/>
      <family val="0"/>
      <charset val="2"/>
    </font>
    <font>
      <sz val="11"/>
      <color rgb="FF000000"/>
      <name val="Calibri"/>
      <family val="0"/>
      <charset val="2"/>
    </font>
    <font>
      <b val="true"/>
      <sz val="11"/>
      <color theme="1"/>
      <name val="Calibri"/>
      <family val="0"/>
      <charset val="134"/>
    </font>
    <font>
      <sz val="11"/>
      <color theme="1"/>
      <name val="Calibri"/>
      <family val="0"/>
      <charset val="134"/>
    </font>
    <font>
      <b val="true"/>
      <u val="single"/>
      <sz val="11"/>
      <color theme="1"/>
      <name val="Calibri"/>
      <family val="0"/>
      <charset val="134"/>
    </font>
    <font>
      <sz val="10"/>
      <name val="Arial"/>
      <family val="2"/>
    </font>
    <font>
      <sz val="9"/>
      <name val="Tahoma"/>
      <family val="0"/>
      <charset val="134"/>
    </font>
    <font>
      <u val="single"/>
      <sz val="11"/>
      <color theme="10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theme="0" tint="-0.15"/>
        <bgColor rgb="FFC0C0C0"/>
      </patternFill>
    </fill>
  </fills>
  <borders count="61">
    <border diagonalUp="false" diagonalDown="false">
      <left/>
      <right/>
      <top/>
      <bottom/>
      <diagonal/>
    </border>
    <border diagonalUp="false" diagonalDown="false">
      <left style="thin"/>
      <right style="hair"/>
      <top style="thin"/>
      <bottom style="thin"/>
      <diagonal/>
    </border>
    <border diagonalUp="false" diagonalDown="false">
      <left style="hair"/>
      <right style="hair"/>
      <top style="thin"/>
      <bottom style="thin"/>
      <diagonal/>
    </border>
    <border diagonalUp="false" diagonalDown="false">
      <left style="hair"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thin"/>
      <bottom style="hair"/>
      <diagonal/>
    </border>
    <border diagonalUp="false" diagonalDown="false">
      <left style="thin"/>
      <right style="hair"/>
      <top style="thin"/>
      <bottom style="hair"/>
      <diagonal/>
    </border>
    <border diagonalUp="false" diagonalDown="false">
      <left style="hair"/>
      <right style="hair"/>
      <top style="thin"/>
      <bottom style="hair"/>
      <diagonal/>
    </border>
    <border diagonalUp="false" diagonalDown="false">
      <left style="hair"/>
      <right style="thin"/>
      <top style="thin"/>
      <bottom style="hair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 style="thin"/>
      <bottom style="hair"/>
      <diagonal/>
    </border>
    <border diagonalUp="false" diagonalDown="false">
      <left style="hair"/>
      <right/>
      <top style="thin"/>
      <bottom style="hair"/>
      <diagonal/>
    </border>
    <border diagonalUp="false" diagonalDown="false">
      <left style="thin"/>
      <right style="thin"/>
      <top style="hair"/>
      <bottom style="hair"/>
      <diagonal/>
    </border>
    <border diagonalUp="false" diagonalDown="false">
      <left style="thin"/>
      <right style="hair"/>
      <top style="hair"/>
      <bottom style="hair"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hair"/>
      <right style="thin"/>
      <top style="hair"/>
      <bottom style="hair"/>
      <diagonal/>
    </border>
    <border diagonalUp="false" diagonalDown="false">
      <left style="thin"/>
      <right/>
      <top style="hair"/>
      <bottom style="hair"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 style="thin"/>
      <right style="thin"/>
      <top style="hair"/>
      <bottom/>
      <diagonal/>
    </border>
    <border diagonalUp="false" diagonalDown="false">
      <left style="thin"/>
      <right style="hair"/>
      <top style="hair"/>
      <bottom/>
      <diagonal/>
    </border>
    <border diagonalUp="false" diagonalDown="false">
      <left style="hair"/>
      <right style="hair"/>
      <top style="hair"/>
      <bottom/>
      <diagonal/>
    </border>
    <border diagonalUp="false" diagonalDown="false">
      <left style="hair"/>
      <right style="thin"/>
      <top style="hair"/>
      <bottom/>
      <diagonal/>
    </border>
    <border diagonalUp="false" diagonalDown="false">
      <left style="thin"/>
      <right/>
      <top style="hair"/>
      <bottom/>
      <diagonal/>
    </border>
    <border diagonalUp="false" diagonalDown="false">
      <left style="hair"/>
      <right/>
      <top style="hair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hair"/>
      <top/>
      <bottom/>
      <diagonal/>
    </border>
    <border diagonalUp="false" diagonalDown="false">
      <left style="hair"/>
      <right style="hair"/>
      <top/>
      <bottom/>
      <diagonal/>
    </border>
    <border diagonalUp="false" diagonalDown="false">
      <left style="hair"/>
      <right style="thin"/>
      <top/>
      <bottom/>
      <diagonal/>
    </border>
    <border diagonalUp="false" diagonalDown="false">
      <left style="hair"/>
      <right/>
      <top/>
      <bottom/>
      <diagonal/>
    </border>
    <border diagonalUp="false" diagonalDown="false">
      <left style="thin"/>
      <right style="thin"/>
      <top style="hair"/>
      <bottom style="thin"/>
      <diagonal/>
    </border>
    <border diagonalUp="false" diagonalDown="false">
      <left style="thin"/>
      <right style="hair"/>
      <top style="hair"/>
      <bottom style="thin"/>
      <diagonal/>
    </border>
    <border diagonalUp="false" diagonalDown="false">
      <left style="hair"/>
      <right style="hair"/>
      <top style="hair"/>
      <bottom style="thin"/>
      <diagonal/>
    </border>
    <border diagonalUp="false" diagonalDown="false">
      <left style="hair"/>
      <right style="thin"/>
      <top style="hair"/>
      <bottom style="thin"/>
      <diagonal/>
    </border>
    <border diagonalUp="false" diagonalDown="false">
      <left style="thin"/>
      <right/>
      <top style="hair"/>
      <bottom style="thin"/>
      <diagonal/>
    </border>
    <border diagonalUp="false" diagonalDown="false">
      <left style="hair"/>
      <right/>
      <top style="hair"/>
      <bottom style="thin"/>
      <diagonal/>
    </border>
    <border diagonalUp="false" diagonalDown="false">
      <left style="thin"/>
      <right style="thin"/>
      <top/>
      <bottom style="hair"/>
      <diagonal/>
    </border>
    <border diagonalUp="false" diagonalDown="false">
      <left style="thin"/>
      <right style="hair"/>
      <top/>
      <bottom style="hair"/>
      <diagonal/>
    </border>
    <border diagonalUp="false" diagonalDown="false">
      <left style="hair"/>
      <right style="hair"/>
      <top/>
      <bottom style="hair"/>
      <diagonal/>
    </border>
    <border diagonalUp="false" diagonalDown="false">
      <left style="hair"/>
      <right style="thin"/>
      <top/>
      <bottom style="hair"/>
      <diagonal/>
    </border>
    <border diagonalUp="false" diagonalDown="false">
      <left style="thin"/>
      <right/>
      <top/>
      <bottom style="hair"/>
      <diagonal/>
    </border>
    <border diagonalUp="false" diagonalDown="false">
      <left style="hair"/>
      <right/>
      <top/>
      <bottom style="hair"/>
      <diagonal/>
    </border>
    <border diagonalUp="false" diagonalDown="false">
      <left style="thin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dashed"/>
      <top style="medium"/>
      <bottom/>
      <diagonal/>
    </border>
    <border diagonalUp="false" diagonalDown="false">
      <left style="dashed"/>
      <right/>
      <top style="medium"/>
      <bottom/>
      <diagonal/>
    </border>
    <border diagonalUp="false" diagonalDown="false">
      <left/>
      <right style="thin"/>
      <top style="medium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/>
      <right style="dashed"/>
      <top/>
      <bottom/>
      <diagonal/>
    </border>
    <border diagonalUp="false" diagonalDown="false">
      <left style="dashed"/>
      <right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dashed"/>
      <top/>
      <bottom style="thin"/>
      <diagonal/>
    </border>
    <border diagonalUp="false" diagonalDown="false">
      <left style="dashed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 style="dashed"/>
      <top style="thin"/>
      <bottom/>
      <diagonal/>
    </border>
    <border diagonalUp="false" diagonalDown="false">
      <left style="dashed"/>
      <right/>
      <top style="thin"/>
      <bottom/>
      <diagonal/>
    </border>
    <border diagonalUp="false" diagonalDown="false">
      <left style="thin"/>
      <right style="thin"/>
      <top style="thin"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7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9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7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6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4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20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26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3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3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37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3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9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3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bottom" textRotation="0" wrapText="false" indent="5" shrinkToFit="false"/>
      <protection locked="true" hidden="false"/>
    </xf>
    <xf numFmtId="164" fontId="12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2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4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4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4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4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3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4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48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13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4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5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0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6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5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5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56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1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49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5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0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26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4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2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2" borderId="5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5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2" borderId="5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5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57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60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13" fillId="0" borderId="5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5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5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2" borderId="4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2" borderId="5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2" borderId="5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2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3" fillId="0" borderId="5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2" xfId="0" applyFont="false" applyBorder="true" applyAlignment="true" applyProtection="true">
      <alignment horizontal="left" vertical="bottom" textRotation="74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left" vertical="bottom" textRotation="74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9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5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5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5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5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5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5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5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5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" borderId="57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7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1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5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2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7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5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5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en.wikipedia.org/wiki/IEEE_754" TargetMode="External"/><Relationship Id="rId2" Type="http://schemas.openxmlformats.org/officeDocument/2006/relationships/hyperlink" Target="https://en.wikipedia.org/wiki/ISO_8601" TargetMode="External"/><Relationship Id="rId3" Type="http://schemas.openxmlformats.org/officeDocument/2006/relationships/hyperlink" Target="http://www.w3.org/TR/xmlschema-2/" TargetMode="External"/><Relationship Id="rId4" Type="http://schemas.openxmlformats.org/officeDocument/2006/relationships/hyperlink" Target="http://www.w3.org/TR/xmlschema-2/" TargetMode="External"/><Relationship Id="rId5" Type="http://schemas.openxmlformats.org/officeDocument/2006/relationships/hyperlink" Target="http://www.w3.org/TR/xmlschema-2/" TargetMode="External"/><Relationship Id="rId6" Type="http://schemas.openxmlformats.org/officeDocument/2006/relationships/hyperlink" Target="https://learn.microsoft.com/en-us/office/vba/language/reference/user-interface-help/currency-data-type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9"/>
  <sheetViews>
    <sheetView showFormulas="false" showGridLines="true" showRowColHeaders="true" showZeros="true" rightToLeft="false" tabSelected="false" showOutlineSymbols="true" defaultGridColor="true" view="normal" topLeftCell="A1" colorId="64" zoomScale="106" zoomScaleNormal="106" zoomScalePageLayoutView="100" workbookViewId="0">
      <selection pane="topLeft" activeCell="A1" activeCellId="0" sqref="A1"/>
    </sheetView>
  </sheetViews>
  <sheetFormatPr defaultColWidth="9.00390625" defaultRowHeight="14.25" customHeight="true" zeroHeight="false" outlineLevelRow="0" outlineLevelCol="0"/>
  <cols>
    <col collapsed="false" customWidth="true" hidden="false" outlineLevel="0" max="1" min="1" style="1" width="15.14"/>
    <col collapsed="false" customWidth="true" hidden="false" outlineLevel="0" max="2" min="2" style="2" width="11.43"/>
    <col collapsed="false" customWidth="true" hidden="false" outlineLevel="0" max="3" min="3" style="2" width="7.29"/>
    <col collapsed="false" customWidth="true" hidden="false" outlineLevel="0" max="4" min="4" style="1" width="9.71"/>
  </cols>
  <sheetData>
    <row r="1" customFormat="false" ht="14.25" hidden="false" customHeight="false" outlineLevel="0" collapsed="false">
      <c r="A1" s="3" t="s">
        <v>0</v>
      </c>
      <c r="B1" s="4" t="s">
        <v>1</v>
      </c>
      <c r="C1" s="4" t="s">
        <v>2</v>
      </c>
      <c r="D1" s="3" t="s">
        <v>3</v>
      </c>
    </row>
    <row r="2" customFormat="false" ht="14.25" hidden="false" customHeight="false" outlineLevel="0" collapsed="false">
      <c r="A2" s="1" t="s">
        <v>4</v>
      </c>
      <c r="B2" s="2" t="s">
        <v>5</v>
      </c>
      <c r="C2" s="2" t="n">
        <v>6</v>
      </c>
      <c r="D2" s="1" t="s">
        <v>6</v>
      </c>
    </row>
    <row r="3" customFormat="false" ht="14.25" hidden="false" customHeight="false" outlineLevel="0" collapsed="false">
      <c r="A3" s="1" t="s">
        <v>7</v>
      </c>
      <c r="B3" s="2" t="n">
        <v>1</v>
      </c>
      <c r="C3" s="2" t="n">
        <v>1</v>
      </c>
      <c r="D3" s="1" t="s">
        <v>8</v>
      </c>
    </row>
    <row r="4" customFormat="false" ht="14.25" hidden="false" customHeight="false" outlineLevel="0" collapsed="false">
      <c r="A4" s="1" t="s">
        <v>9</v>
      </c>
      <c r="B4" s="2" t="n">
        <v>1</v>
      </c>
      <c r="C4" s="2" t="n">
        <v>1</v>
      </c>
      <c r="D4" s="1" t="s">
        <v>10</v>
      </c>
    </row>
    <row r="5" customFormat="false" ht="14.25" hidden="false" customHeight="false" outlineLevel="0" collapsed="false">
      <c r="A5" s="5"/>
      <c r="B5" s="5"/>
      <c r="C5" s="5"/>
      <c r="D5" s="5"/>
    </row>
    <row r="6" customFormat="false" ht="14.25" hidden="false" customHeight="false" outlineLevel="0" collapsed="false">
      <c r="A6" s="5" t="s">
        <v>11</v>
      </c>
      <c r="B6" s="5"/>
      <c r="C6" s="5"/>
    </row>
    <row r="7" customFormat="false" ht="14.25" hidden="false" customHeight="false" outlineLevel="0" collapsed="false">
      <c r="A7" s="5" t="s">
        <v>12</v>
      </c>
    </row>
    <row r="9" customFormat="false" ht="14.25" hidden="false" customHeight="false" outlineLevel="0" collapsed="false">
      <c r="A9" s="6" t="s">
        <v>13</v>
      </c>
    </row>
    <row r="12" customFormat="false" ht="14.25" hidden="false" customHeight="false" outlineLevel="0" collapsed="false">
      <c r="A12" s="3" t="s">
        <v>14</v>
      </c>
    </row>
    <row r="13" customFormat="false" ht="14.25" hidden="false" customHeight="false" outlineLevel="0" collapsed="false">
      <c r="A13" s="1" t="s">
        <v>15</v>
      </c>
      <c r="B13" s="7" t="n">
        <v>57344</v>
      </c>
    </row>
    <row r="14" customFormat="false" ht="14.25" hidden="false" customHeight="false" outlineLevel="0" collapsed="false">
      <c r="A14" s="1" t="s">
        <v>16</v>
      </c>
      <c r="B14" s="8" t="s">
        <v>17</v>
      </c>
    </row>
    <row r="15" customFormat="false" ht="14.25" hidden="false" customHeight="false" outlineLevel="0" collapsed="false">
      <c r="B15" s="9"/>
    </row>
    <row r="16" customFormat="false" ht="14.25" hidden="false" customHeight="false" outlineLevel="0" collapsed="false">
      <c r="A16" s="3" t="s">
        <v>18</v>
      </c>
    </row>
    <row r="17" customFormat="false" ht="14.25" hidden="false" customHeight="false" outlineLevel="0" collapsed="false">
      <c r="A17" s="1" t="s">
        <v>15</v>
      </c>
      <c r="B17" s="7" t="n">
        <v>57429</v>
      </c>
    </row>
    <row r="18" customFormat="false" ht="14.25" hidden="false" customHeight="false" outlineLevel="0" collapsed="false">
      <c r="A18" s="1" t="s">
        <v>16</v>
      </c>
      <c r="B18" s="8" t="s">
        <v>19</v>
      </c>
    </row>
    <row r="19" customFormat="false" ht="14.25" hidden="false" customHeight="false" outlineLevel="0" collapsed="false">
      <c r="B19" s="9"/>
    </row>
    <row r="20" customFormat="false" ht="14.25" hidden="false" customHeight="false" outlineLevel="0" collapsed="false">
      <c r="A20" s="1" t="s">
        <v>20</v>
      </c>
    </row>
    <row r="21" customFormat="false" ht="14.25" hidden="false" customHeight="false" outlineLevel="0" collapsed="false">
      <c r="A21" s="1" t="s">
        <v>21</v>
      </c>
    </row>
    <row r="22" customFormat="false" ht="14.25" hidden="false" customHeight="false" outlineLevel="0" collapsed="false">
      <c r="A22" s="1" t="s">
        <v>22</v>
      </c>
    </row>
    <row r="23" customFormat="false" ht="14.25" hidden="false" customHeight="false" outlineLevel="0" collapsed="false">
      <c r="A23" s="1" t="s">
        <v>23</v>
      </c>
    </row>
    <row r="24" customFormat="false" ht="14.25" hidden="false" customHeight="false" outlineLevel="0" collapsed="false">
      <c r="A24" s="1" t="s">
        <v>24</v>
      </c>
    </row>
    <row r="25" customFormat="false" ht="14.25" hidden="false" customHeight="false" outlineLevel="0" collapsed="false">
      <c r="A25" s="1" t="s">
        <v>25</v>
      </c>
    </row>
    <row r="27" customFormat="false" ht="14.25" hidden="false" customHeight="false" outlineLevel="0" collapsed="false">
      <c r="A27" s="1" t="s">
        <v>26</v>
      </c>
    </row>
    <row r="28" customFormat="false" ht="14.25" hidden="false" customHeight="false" outlineLevel="0" collapsed="false">
      <c r="A28" s="10" t="s">
        <v>27</v>
      </c>
      <c r="B28" s="10" t="s">
        <v>28</v>
      </c>
    </row>
    <row r="29" customFormat="false" ht="14.25" hidden="false" customHeight="false" outlineLevel="0" collapsed="false">
      <c r="A29" s="10" t="s">
        <v>29</v>
      </c>
      <c r="B29" s="10" t="s">
        <v>30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48576"/>
  <sheetViews>
    <sheetView showFormulas="false" showGridLines="true" showRowColHeaders="true" showZeros="true" rightToLeft="false" tabSelected="false" showOutlineSymbols="true" defaultGridColor="true" view="normal" topLeftCell="A1" colorId="64" zoomScale="106" zoomScaleNormal="106" zoomScalePageLayoutView="100" workbookViewId="0">
      <selection pane="topLeft" activeCell="A1" activeCellId="0" sqref="A1"/>
    </sheetView>
  </sheetViews>
  <sheetFormatPr defaultColWidth="9.1484375" defaultRowHeight="14.25" customHeight="true" zeroHeight="false" outlineLevelRow="1" outlineLevelCol="0"/>
  <cols>
    <col collapsed="false" customWidth="true" hidden="false" outlineLevel="0" max="8" min="1" style="11" width="3"/>
    <col collapsed="false" customWidth="true" hidden="false" outlineLevel="0" max="10" min="9" style="12" width="6"/>
    <col collapsed="false" customWidth="true" hidden="false" outlineLevel="0" max="11" min="11" style="13" width="15"/>
    <col collapsed="false" customWidth="true" hidden="false" outlineLevel="0" max="12" min="12" style="13" width="29.17"/>
    <col collapsed="false" customWidth="true" hidden="false" outlineLevel="0" max="13" min="13" style="13" width="22.71"/>
    <col collapsed="false" customWidth="true" hidden="false" outlineLevel="0" max="14" min="14" style="11" width="6.14"/>
    <col collapsed="false" customWidth="true" hidden="false" outlineLevel="0" max="15" min="15" style="11" width="13.29"/>
    <col collapsed="false" customWidth="true" hidden="false" outlineLevel="0" max="16" min="16" style="13" width="17.71"/>
    <col collapsed="false" customWidth="true" hidden="false" outlineLevel="0" max="17" min="17" style="14" width="46.86"/>
    <col collapsed="false" customWidth="true" hidden="false" outlineLevel="0" max="19" min="18" style="11" width="6.85"/>
    <col collapsed="false" customWidth="false" hidden="false" outlineLevel="0" max="16384" min="20" style="13" width="9.14"/>
  </cols>
  <sheetData>
    <row r="1" customFormat="false" ht="30" hidden="false" customHeight="true" outlineLevel="0" collapsed="false">
      <c r="A1" s="15" t="s">
        <v>31</v>
      </c>
      <c r="B1" s="16" t="s">
        <v>32</v>
      </c>
      <c r="C1" s="16"/>
      <c r="D1" s="16"/>
      <c r="E1" s="16" t="s">
        <v>33</v>
      </c>
      <c r="F1" s="16"/>
      <c r="G1" s="16"/>
      <c r="H1" s="16"/>
      <c r="I1" s="16" t="s">
        <v>1</v>
      </c>
      <c r="J1" s="16"/>
      <c r="K1" s="17" t="s">
        <v>34</v>
      </c>
      <c r="L1" s="17" t="s">
        <v>35</v>
      </c>
      <c r="M1" s="17" t="s">
        <v>36</v>
      </c>
      <c r="N1" s="18" t="s">
        <v>37</v>
      </c>
      <c r="O1" s="18"/>
      <c r="P1" s="17" t="s">
        <v>1</v>
      </c>
      <c r="Q1" s="19" t="s">
        <v>38</v>
      </c>
      <c r="R1" s="20" t="s">
        <v>39</v>
      </c>
      <c r="S1" s="20" t="s">
        <v>40</v>
      </c>
    </row>
    <row r="2" customFormat="false" ht="14.25" hidden="false" customHeight="false" outlineLevel="0" collapsed="false">
      <c r="A2" s="21" t="n">
        <v>7</v>
      </c>
      <c r="B2" s="22" t="n">
        <v>6</v>
      </c>
      <c r="C2" s="22" t="n">
        <v>5</v>
      </c>
      <c r="D2" s="22" t="n">
        <v>4</v>
      </c>
      <c r="E2" s="22" t="n">
        <v>3</v>
      </c>
      <c r="F2" s="22" t="n">
        <v>2</v>
      </c>
      <c r="G2" s="22" t="n">
        <v>1</v>
      </c>
      <c r="H2" s="23" t="n">
        <v>0</v>
      </c>
      <c r="I2" s="24" t="s">
        <v>41</v>
      </c>
      <c r="J2" s="25" t="s">
        <v>42</v>
      </c>
      <c r="K2" s="26"/>
      <c r="L2" s="27"/>
      <c r="M2" s="27"/>
      <c r="N2" s="28" t="s">
        <v>43</v>
      </c>
      <c r="O2" s="28" t="s">
        <v>44</v>
      </c>
      <c r="P2" s="27"/>
      <c r="Q2" s="29"/>
      <c r="R2" s="20" t="str">
        <f aca="false">CONCATENATE(ROUND(AVERAGE(R3:R66)*100/3,0),"%")</f>
        <v>81%</v>
      </c>
      <c r="S2" s="20" t="str">
        <f aca="false">CONCATENATE(ROUND(AVERAGE(S3:S66)*100/4,0),"%")</f>
        <v>69%</v>
      </c>
    </row>
    <row r="3" customFormat="false" ht="14.25" hidden="false" customHeight="false" outlineLevel="0" collapsed="false">
      <c r="A3" s="30"/>
      <c r="B3" s="31"/>
      <c r="C3" s="32"/>
      <c r="D3" s="33"/>
      <c r="E3" s="31" t="n">
        <v>0</v>
      </c>
      <c r="F3" s="32" t="n">
        <v>0</v>
      </c>
      <c r="G3" s="32" t="n">
        <v>0</v>
      </c>
      <c r="H3" s="33" t="n">
        <v>0</v>
      </c>
      <c r="I3" s="34" t="n">
        <f aca="false">SUM(E3*8,F3*4,G3*2,H3)</f>
        <v>0</v>
      </c>
      <c r="J3" s="35" t="n">
        <f aca="false">IF(I3&lt;=9,I3,CHAR(I3-10+CODE("A")))</f>
        <v>0</v>
      </c>
      <c r="K3" s="36" t="s">
        <v>45</v>
      </c>
      <c r="L3" s="36"/>
      <c r="M3" s="37"/>
      <c r="N3" s="31" t="n">
        <v>1</v>
      </c>
      <c r="O3" s="32" t="n">
        <v>1</v>
      </c>
      <c r="P3" s="38"/>
      <c r="Q3" s="39" t="s">
        <v>46</v>
      </c>
      <c r="R3" s="40" t="n">
        <v>3</v>
      </c>
      <c r="S3" s="40" t="n">
        <v>4</v>
      </c>
    </row>
    <row r="4" customFormat="false" ht="14.25" hidden="false" customHeight="false" outlineLevel="0" collapsed="false">
      <c r="A4" s="30" t="s">
        <v>47</v>
      </c>
      <c r="B4" s="31" t="str">
        <f aca="false">IF(COUNTA(B5:B8)&gt;0,"z","")</f>
        <v>z</v>
      </c>
      <c r="C4" s="32" t="str">
        <f aca="false">IF(COUNTA(C5:C8)&gt;0,"y","")</f>
        <v>y</v>
      </c>
      <c r="D4" s="33" t="str">
        <f aca="false">IF(COUNTA(D5:D8)&gt;0,"x","")</f>
        <v>x</v>
      </c>
      <c r="E4" s="31" t="n">
        <v>1</v>
      </c>
      <c r="F4" s="32" t="n">
        <v>0</v>
      </c>
      <c r="G4" s="32" t="n">
        <v>0</v>
      </c>
      <c r="H4" s="33" t="n">
        <v>0</v>
      </c>
      <c r="I4" s="34" t="n">
        <f aca="false">SUM(E4*8,F4*4,G4*2,H4)</f>
        <v>8</v>
      </c>
      <c r="J4" s="35" t="n">
        <f aca="false">IF(I4&lt;=9,I4,CHAR(I4-10+CODE("A")))</f>
        <v>8</v>
      </c>
      <c r="K4" s="36" t="s">
        <v>48</v>
      </c>
      <c r="L4" s="36"/>
      <c r="M4" s="41"/>
      <c r="N4" s="42" t="n">
        <f aca="false">1+SUM(N5:N8)</f>
        <v>5</v>
      </c>
      <c r="O4" s="43" t="n">
        <f aca="false">1+SUM(O5:O8)</f>
        <v>13</v>
      </c>
      <c r="P4" s="38"/>
      <c r="Q4" s="39" t="s">
        <v>49</v>
      </c>
      <c r="R4" s="40" t="n">
        <v>3</v>
      </c>
      <c r="S4" s="40" t="n">
        <v>4</v>
      </c>
    </row>
    <row r="5" customFormat="false" ht="14.25" hidden="true" customHeight="false" outlineLevel="1" collapsed="false">
      <c r="A5" s="44"/>
      <c r="B5" s="45"/>
      <c r="C5" s="46"/>
      <c r="D5" s="47" t="s">
        <v>50</v>
      </c>
      <c r="E5" s="45"/>
      <c r="F5" s="46"/>
      <c r="G5" s="46"/>
      <c r="H5" s="47"/>
      <c r="I5" s="48"/>
      <c r="J5" s="49"/>
      <c r="K5" s="50"/>
      <c r="L5" s="50"/>
      <c r="M5" s="51" t="s">
        <v>51</v>
      </c>
      <c r="N5" s="52"/>
      <c r="O5" s="53" t="n">
        <v>4</v>
      </c>
      <c r="P5" s="54" t="s">
        <v>52</v>
      </c>
      <c r="Q5" s="55"/>
    </row>
    <row r="6" customFormat="false" ht="14.25" hidden="true" customHeight="false" outlineLevel="1" collapsed="false">
      <c r="A6" s="44"/>
      <c r="B6" s="45"/>
      <c r="C6" s="53" t="s">
        <v>50</v>
      </c>
      <c r="D6" s="47"/>
      <c r="E6" s="45"/>
      <c r="F6" s="46"/>
      <c r="G6" s="46"/>
      <c r="H6" s="47"/>
      <c r="I6" s="48"/>
      <c r="J6" s="49"/>
      <c r="K6" s="50"/>
      <c r="L6" s="50"/>
      <c r="M6" s="51" t="s">
        <v>53</v>
      </c>
      <c r="N6" s="52"/>
      <c r="O6" s="53"/>
      <c r="P6" s="54"/>
      <c r="Q6" s="55"/>
    </row>
    <row r="7" customFormat="false" ht="14.25" hidden="true" customHeight="false" outlineLevel="1" collapsed="false">
      <c r="A7" s="44"/>
      <c r="B7" s="45"/>
      <c r="C7" s="53"/>
      <c r="D7" s="47"/>
      <c r="E7" s="45"/>
      <c r="F7" s="46"/>
      <c r="G7" s="46"/>
      <c r="H7" s="47"/>
      <c r="I7" s="48"/>
      <c r="J7" s="49"/>
      <c r="K7" s="50"/>
      <c r="L7" s="50"/>
      <c r="M7" s="51"/>
      <c r="N7" s="52" t="n">
        <v>4</v>
      </c>
      <c r="O7" s="53" t="n">
        <v>4</v>
      </c>
      <c r="P7" s="54" t="s">
        <v>54</v>
      </c>
      <c r="Q7" s="55"/>
    </row>
    <row r="8" customFormat="false" ht="14.25" hidden="true" customHeight="false" outlineLevel="1" collapsed="false">
      <c r="A8" s="56"/>
      <c r="B8" s="57" t="s">
        <v>50</v>
      </c>
      <c r="C8" s="58"/>
      <c r="D8" s="59"/>
      <c r="E8" s="57"/>
      <c r="F8" s="58"/>
      <c r="G8" s="58"/>
      <c r="H8" s="59"/>
      <c r="I8" s="48"/>
      <c r="J8" s="49"/>
      <c r="K8" s="60"/>
      <c r="L8" s="60"/>
      <c r="M8" s="61" t="s">
        <v>55</v>
      </c>
      <c r="N8" s="57"/>
      <c r="O8" s="58" t="n">
        <v>4</v>
      </c>
      <c r="P8" s="62" t="s">
        <v>56</v>
      </c>
      <c r="Q8" s="63"/>
      <c r="R8" s="12"/>
      <c r="S8" s="12"/>
    </row>
    <row r="9" customFormat="false" ht="14.25" hidden="true" customHeight="false" outlineLevel="1" collapsed="false">
      <c r="A9" s="64"/>
      <c r="B9" s="65"/>
      <c r="C9" s="66"/>
      <c r="D9" s="67"/>
      <c r="E9" s="68"/>
      <c r="F9" s="66"/>
      <c r="G9" s="66"/>
      <c r="H9" s="67"/>
      <c r="I9" s="48"/>
      <c r="J9" s="49"/>
      <c r="K9" s="69"/>
      <c r="L9" s="69"/>
      <c r="M9" s="70"/>
      <c r="N9" s="68" t="n">
        <v>0</v>
      </c>
      <c r="O9" s="66" t="s">
        <v>54</v>
      </c>
      <c r="P9" s="71" t="s">
        <v>57</v>
      </c>
      <c r="Q9" s="72"/>
      <c r="R9" s="12"/>
      <c r="S9" s="12"/>
    </row>
    <row r="10" customFormat="false" ht="14.25" hidden="true" customHeight="false" outlineLevel="1" collapsed="false">
      <c r="A10" s="64"/>
      <c r="B10" s="65"/>
      <c r="C10" s="66"/>
      <c r="D10" s="67"/>
      <c r="E10" s="68"/>
      <c r="F10" s="66"/>
      <c r="G10" s="66"/>
      <c r="H10" s="67"/>
      <c r="I10" s="48"/>
      <c r="J10" s="49"/>
      <c r="K10" s="69"/>
      <c r="L10" s="69" t="s">
        <v>58</v>
      </c>
      <c r="M10" s="70"/>
      <c r="N10" s="68" t="n">
        <v>0</v>
      </c>
      <c r="O10" s="66" t="s">
        <v>56</v>
      </c>
      <c r="P10" s="71" t="s">
        <v>59</v>
      </c>
      <c r="Q10" s="72"/>
    </row>
    <row r="11" customFormat="false" ht="14.25" hidden="false" customHeight="false" outlineLevel="0" collapsed="false">
      <c r="A11" s="30" t="s">
        <v>47</v>
      </c>
      <c r="B11" s="31" t="str">
        <f aca="false">IF(COUNTA(B12:B13)&gt;0,"z","")</f>
        <v/>
      </c>
      <c r="C11" s="32" t="str">
        <f aca="false">IF(COUNTA(C12:C13)&gt;0,"y","")</f>
        <v/>
      </c>
      <c r="D11" s="33" t="str">
        <f aca="false">IF(COUNTA(D12:D13)&gt;0,"x","")</f>
        <v/>
      </c>
      <c r="E11" s="31" t="n">
        <v>0</v>
      </c>
      <c r="F11" s="32" t="n">
        <v>1</v>
      </c>
      <c r="G11" s="32" t="n">
        <v>0</v>
      </c>
      <c r="H11" s="33" t="n">
        <v>0</v>
      </c>
      <c r="I11" s="34" t="n">
        <f aca="false">SUM(E11*8,F11*4,G11*2,H11)</f>
        <v>4</v>
      </c>
      <c r="J11" s="35" t="n">
        <f aca="false">IF(I11&lt;=9,I11,CHAR(I11-10+CODE("A")))</f>
        <v>4</v>
      </c>
      <c r="K11" s="36" t="s">
        <v>60</v>
      </c>
      <c r="L11" s="36"/>
      <c r="M11" s="41"/>
      <c r="N11" s="42" t="n">
        <v>5</v>
      </c>
      <c r="O11" s="43" t="s">
        <v>61</v>
      </c>
      <c r="P11" s="38"/>
      <c r="Q11" s="39"/>
      <c r="R11" s="40" t="n">
        <v>3</v>
      </c>
      <c r="S11" s="40" t="n">
        <v>4</v>
      </c>
    </row>
    <row r="12" customFormat="false" ht="15" hidden="true" customHeight="true" outlineLevel="1" collapsed="false">
      <c r="A12" s="56"/>
      <c r="B12" s="57"/>
      <c r="C12" s="73"/>
      <c r="D12" s="59"/>
      <c r="E12" s="57"/>
      <c r="F12" s="58"/>
      <c r="G12" s="58"/>
      <c r="H12" s="59"/>
      <c r="I12" s="48"/>
      <c r="J12" s="49"/>
      <c r="K12" s="60"/>
      <c r="L12" s="60"/>
      <c r="M12" s="61"/>
      <c r="N12" s="57" t="n">
        <v>4</v>
      </c>
      <c r="O12" s="58" t="n">
        <v>4</v>
      </c>
      <c r="P12" s="62" t="s">
        <v>37</v>
      </c>
      <c r="Q12" s="63"/>
    </row>
    <row r="13" customFormat="false" ht="15" hidden="true" customHeight="true" outlineLevel="1" collapsed="false">
      <c r="A13" s="74"/>
      <c r="B13" s="75"/>
      <c r="C13" s="76"/>
      <c r="D13" s="77"/>
      <c r="E13" s="78"/>
      <c r="F13" s="76"/>
      <c r="G13" s="76"/>
      <c r="H13" s="77"/>
      <c r="I13" s="48"/>
      <c r="J13" s="49"/>
      <c r="K13" s="79"/>
      <c r="L13" s="79"/>
      <c r="M13" s="80"/>
      <c r="N13" s="75" t="s">
        <v>37</v>
      </c>
      <c r="O13" s="76" t="s">
        <v>37</v>
      </c>
      <c r="P13" s="81" t="s">
        <v>60</v>
      </c>
      <c r="Q13" s="82"/>
    </row>
    <row r="14" customFormat="false" ht="14.25" hidden="false" customHeight="false" outlineLevel="0" collapsed="false">
      <c r="A14" s="30" t="s">
        <v>47</v>
      </c>
      <c r="B14" s="31" t="str">
        <f aca="false">IF(COUNTA(B15:B16)&gt;0,"z","")</f>
        <v/>
      </c>
      <c r="C14" s="32" t="str">
        <f aca="false">IF(COUNTA(C15:C16)&gt;0,"y","")</f>
        <v/>
      </c>
      <c r="D14" s="33" t="str">
        <f aca="false">IF(COUNTA(D15:D16)&gt;0,"x","")</f>
        <v/>
      </c>
      <c r="E14" s="31" t="n">
        <v>1</v>
      </c>
      <c r="F14" s="32" t="n">
        <v>1</v>
      </c>
      <c r="G14" s="32" t="n">
        <v>0</v>
      </c>
      <c r="H14" s="33" t="n">
        <v>0</v>
      </c>
      <c r="I14" s="34" t="n">
        <f aca="false">SUM(E14*8,F14*4,G14*2,H14)</f>
        <v>12</v>
      </c>
      <c r="J14" s="35" t="str">
        <f aca="false">IF(I14&lt;=9,I14,CHAR(I14-10+CODE("A")))</f>
        <v>C</v>
      </c>
      <c r="K14" s="41" t="s">
        <v>62</v>
      </c>
      <c r="L14" s="36"/>
      <c r="M14" s="37"/>
      <c r="N14" s="42" t="s">
        <v>63</v>
      </c>
      <c r="O14" s="43" t="s">
        <v>63</v>
      </c>
      <c r="P14" s="38"/>
      <c r="Q14" s="39" t="s">
        <v>60</v>
      </c>
      <c r="R14" s="40" t="n">
        <v>0</v>
      </c>
      <c r="S14" s="40" t="n">
        <v>0</v>
      </c>
    </row>
    <row r="15" customFormat="false" ht="15" hidden="true" customHeight="true" outlineLevel="1" collapsed="false">
      <c r="A15" s="83"/>
      <c r="B15" s="84"/>
      <c r="C15" s="85"/>
      <c r="D15" s="86"/>
      <c r="E15" s="87"/>
      <c r="F15" s="85"/>
      <c r="G15" s="85"/>
      <c r="H15" s="86"/>
      <c r="I15" s="48"/>
      <c r="J15" s="49"/>
      <c r="K15" s="88"/>
      <c r="L15" s="88"/>
      <c r="M15" s="89"/>
      <c r="N15" s="87"/>
      <c r="O15" s="85"/>
      <c r="P15" s="90"/>
      <c r="Q15" s="91"/>
    </row>
    <row r="16" customFormat="false" ht="15" hidden="true" customHeight="true" outlineLevel="1" collapsed="false">
      <c r="A16" s="74"/>
      <c r="B16" s="78"/>
      <c r="C16" s="76"/>
      <c r="D16" s="92"/>
      <c r="E16" s="78"/>
      <c r="F16" s="76"/>
      <c r="G16" s="76"/>
      <c r="H16" s="77"/>
      <c r="I16" s="48"/>
      <c r="J16" s="49"/>
      <c r="K16" s="79"/>
      <c r="L16" s="79"/>
      <c r="M16" s="80"/>
      <c r="N16" s="75"/>
      <c r="O16" s="76"/>
      <c r="P16" s="81"/>
      <c r="Q16" s="82"/>
    </row>
    <row r="17" customFormat="false" ht="14.25" hidden="false" customHeight="false" outlineLevel="0" collapsed="false">
      <c r="A17" s="30" t="s">
        <v>47</v>
      </c>
      <c r="B17" s="31" t="str">
        <f aca="false">IF(COUNTA(B18:B21)&gt;0,"z","")</f>
        <v>z</v>
      </c>
      <c r="C17" s="32" t="str">
        <f aca="false">IF(COUNTA(C18:C21)&gt;0,"y","")</f>
        <v>y</v>
      </c>
      <c r="D17" s="33" t="str">
        <f aca="false">IF(COUNTA(D18:D21)&gt;0,"x","")</f>
        <v>x</v>
      </c>
      <c r="E17" s="31" t="n">
        <v>0</v>
      </c>
      <c r="F17" s="32" t="n">
        <v>0</v>
      </c>
      <c r="G17" s="32" t="n">
        <v>1</v>
      </c>
      <c r="H17" s="33" t="n">
        <v>0</v>
      </c>
      <c r="I17" s="34" t="n">
        <f aca="false">SUM(E17*8,F17*4,G17*2,H17)</f>
        <v>2</v>
      </c>
      <c r="J17" s="35" t="n">
        <f aca="false">IF(I17&lt;=9,I17,CHAR(I17-10+CODE("A")))</f>
        <v>2</v>
      </c>
      <c r="K17" s="36" t="s">
        <v>64</v>
      </c>
      <c r="L17" s="36"/>
      <c r="M17" s="37"/>
      <c r="N17" s="42" t="n">
        <v>5</v>
      </c>
      <c r="O17" s="43" t="s">
        <v>65</v>
      </c>
      <c r="P17" s="38"/>
      <c r="Q17" s="39"/>
      <c r="R17" s="40" t="n">
        <v>3</v>
      </c>
      <c r="S17" s="40" t="n">
        <v>4</v>
      </c>
    </row>
    <row r="18" customFormat="false" ht="14.25" hidden="true" customHeight="false" outlineLevel="1" collapsed="false">
      <c r="A18" s="83"/>
      <c r="B18" s="87"/>
      <c r="C18" s="93" t="n">
        <v>0</v>
      </c>
      <c r="D18" s="94" t="n">
        <v>0</v>
      </c>
      <c r="E18" s="87"/>
      <c r="F18" s="85"/>
      <c r="G18" s="85"/>
      <c r="H18" s="86"/>
      <c r="I18" s="48"/>
      <c r="J18" s="49"/>
      <c r="K18" s="88"/>
      <c r="L18" s="88"/>
      <c r="M18" s="95" t="s">
        <v>66</v>
      </c>
      <c r="N18" s="87" t="s">
        <v>67</v>
      </c>
      <c r="O18" s="93" t="s">
        <v>67</v>
      </c>
      <c r="P18" s="96" t="s">
        <v>68</v>
      </c>
      <c r="Q18" s="97" t="s">
        <v>69</v>
      </c>
    </row>
    <row r="19" customFormat="false" ht="14.25" hidden="true" customHeight="false" outlineLevel="1" collapsed="false">
      <c r="A19" s="83"/>
      <c r="B19" s="87"/>
      <c r="C19" s="93" t="n">
        <v>0</v>
      </c>
      <c r="D19" s="94" t="n">
        <v>1</v>
      </c>
      <c r="E19" s="87"/>
      <c r="F19" s="85"/>
      <c r="G19" s="85"/>
      <c r="H19" s="86"/>
      <c r="I19" s="48"/>
      <c r="J19" s="49"/>
      <c r="K19" s="88"/>
      <c r="L19" s="88"/>
      <c r="M19" s="95" t="s">
        <v>70</v>
      </c>
      <c r="N19" s="87" t="n">
        <v>4</v>
      </c>
      <c r="O19" s="93" t="n">
        <v>4</v>
      </c>
      <c r="P19" s="96" t="s">
        <v>71</v>
      </c>
      <c r="Q19" s="97" t="s">
        <v>69</v>
      </c>
    </row>
    <row r="20" customFormat="false" ht="14.25" hidden="true" customHeight="false" outlineLevel="1" collapsed="false">
      <c r="A20" s="83"/>
      <c r="B20" s="87" t="s">
        <v>50</v>
      </c>
      <c r="C20" s="93"/>
      <c r="D20" s="94"/>
      <c r="E20" s="87"/>
      <c r="F20" s="85"/>
      <c r="G20" s="85"/>
      <c r="H20" s="86"/>
      <c r="I20" s="48"/>
      <c r="J20" s="49"/>
      <c r="K20" s="88"/>
      <c r="L20" s="88" t="s">
        <v>70</v>
      </c>
      <c r="M20" s="95" t="s">
        <v>72</v>
      </c>
      <c r="N20" s="87" t="n">
        <v>8</v>
      </c>
      <c r="O20" s="93" t="n">
        <v>8</v>
      </c>
      <c r="P20" s="96" t="s">
        <v>73</v>
      </c>
      <c r="Q20" s="97"/>
    </row>
    <row r="21" customFormat="false" ht="15" hidden="true" customHeight="true" outlineLevel="1" collapsed="false">
      <c r="A21" s="44"/>
      <c r="B21" s="45"/>
      <c r="C21" s="46" t="n">
        <v>1</v>
      </c>
      <c r="D21" s="47" t="n">
        <v>1</v>
      </c>
      <c r="E21" s="45"/>
      <c r="F21" s="46"/>
      <c r="G21" s="46"/>
      <c r="H21" s="47"/>
      <c r="I21" s="48"/>
      <c r="J21" s="49"/>
      <c r="K21" s="50"/>
      <c r="L21" s="50"/>
      <c r="M21" s="51" t="s">
        <v>74</v>
      </c>
      <c r="N21" s="52" t="n">
        <v>4</v>
      </c>
      <c r="O21" s="53" t="n">
        <v>4</v>
      </c>
      <c r="P21" s="54" t="s">
        <v>75</v>
      </c>
      <c r="Q21" s="55" t="s">
        <v>60</v>
      </c>
    </row>
    <row r="22" customFormat="false" ht="14.25" hidden="false" customHeight="false" outlineLevel="0" collapsed="false">
      <c r="A22" s="30" t="s">
        <v>47</v>
      </c>
      <c r="B22" s="31" t="str">
        <f aca="false">IF(COUNTA(B23:B24)&gt;0,"z","")</f>
        <v/>
      </c>
      <c r="C22" s="32" t="str">
        <f aca="false">IF(COUNTA(C23:C24)&gt;0,"y","")</f>
        <v/>
      </c>
      <c r="D22" s="33" t="str">
        <f aca="false">IF(COUNTA(D23:D24)&gt;0,"x","")</f>
        <v/>
      </c>
      <c r="E22" s="31" t="n">
        <v>1</v>
      </c>
      <c r="F22" s="32" t="n">
        <v>0</v>
      </c>
      <c r="G22" s="32" t="n">
        <v>1</v>
      </c>
      <c r="H22" s="33" t="n">
        <v>0</v>
      </c>
      <c r="I22" s="34" t="n">
        <f aca="false">SUM(E22*8,F22*4,G22*2,H22)</f>
        <v>10</v>
      </c>
      <c r="J22" s="35" t="str">
        <f aca="false">IF(I22&lt;=9,I22,CHAR(I22-10+CODE("A")))</f>
        <v>A</v>
      </c>
      <c r="K22" s="36" t="s">
        <v>76</v>
      </c>
      <c r="L22" s="36"/>
      <c r="M22" s="37"/>
      <c r="N22" s="42" t="n">
        <f aca="false">1+SUM(N23:N24)</f>
        <v>5</v>
      </c>
      <c r="O22" s="43" t="n">
        <f aca="false">1+SUM(O23:O24)</f>
        <v>5</v>
      </c>
      <c r="P22" s="38"/>
      <c r="Q22" s="39" t="s">
        <v>77</v>
      </c>
      <c r="R22" s="40" t="n">
        <v>3</v>
      </c>
      <c r="S22" s="40" t="n">
        <v>4</v>
      </c>
    </row>
    <row r="23" customFormat="false" ht="14.25" hidden="true" customHeight="false" outlineLevel="1" collapsed="false">
      <c r="A23" s="64"/>
      <c r="B23" s="68"/>
      <c r="C23" s="66"/>
      <c r="D23" s="67"/>
      <c r="E23" s="68"/>
      <c r="F23" s="66"/>
      <c r="G23" s="66"/>
      <c r="H23" s="67"/>
      <c r="I23" s="48"/>
      <c r="J23" s="49"/>
      <c r="K23" s="69"/>
      <c r="L23" s="98"/>
      <c r="M23" s="99"/>
      <c r="N23" s="65" t="n">
        <v>4</v>
      </c>
      <c r="O23" s="100" t="n">
        <v>4</v>
      </c>
      <c r="P23" s="71" t="s">
        <v>78</v>
      </c>
      <c r="Q23" s="72"/>
    </row>
    <row r="24" customFormat="false" ht="15" hidden="true" customHeight="true" outlineLevel="1" collapsed="false">
      <c r="A24" s="74"/>
      <c r="B24" s="75"/>
      <c r="C24" s="76"/>
      <c r="D24" s="92"/>
      <c r="E24" s="78"/>
      <c r="F24" s="76"/>
      <c r="G24" s="76"/>
      <c r="H24" s="77"/>
      <c r="I24" s="48"/>
      <c r="J24" s="49"/>
      <c r="K24" s="79"/>
      <c r="L24" s="79"/>
      <c r="M24" s="80"/>
      <c r="N24" s="78"/>
      <c r="O24" s="76"/>
      <c r="P24" s="81"/>
      <c r="Q24" s="82"/>
    </row>
    <row r="25" customFormat="false" ht="14.25" hidden="false" customHeight="false" outlineLevel="0" collapsed="false">
      <c r="A25" s="30" t="s">
        <v>47</v>
      </c>
      <c r="B25" s="31" t="str">
        <f aca="false">IF(COUNTA(B26:B28)&gt;0,"z","")</f>
        <v/>
      </c>
      <c r="C25" s="32" t="str">
        <f aca="false">IF(COUNTA(C26:C28)&gt;0,"y","")</f>
        <v>y</v>
      </c>
      <c r="D25" s="33" t="str">
        <f aca="false">IF(COUNTA(D26:D28)&gt;0,"x","")</f>
        <v>x</v>
      </c>
      <c r="E25" s="31" t="n">
        <v>0</v>
      </c>
      <c r="F25" s="32" t="n">
        <v>1</v>
      </c>
      <c r="G25" s="32" t="n">
        <v>1</v>
      </c>
      <c r="H25" s="33" t="n">
        <v>0</v>
      </c>
      <c r="I25" s="34" t="n">
        <f aca="false">SUM(E25*8,F25*4,G25*2,H25)</f>
        <v>6</v>
      </c>
      <c r="J25" s="35" t="n">
        <f aca="false">IF(I25&lt;=9,I25,CHAR(I25-10+CODE("A")))</f>
        <v>6</v>
      </c>
      <c r="K25" s="36" t="s">
        <v>79</v>
      </c>
      <c r="L25" s="36"/>
      <c r="M25" s="41"/>
      <c r="N25" s="42" t="s">
        <v>65</v>
      </c>
      <c r="O25" s="43" t="str">
        <f aca="false">CONCATENATE(1+SUM(O26:O28)," + str")</f>
        <v>9 + str</v>
      </c>
      <c r="P25" s="38"/>
      <c r="Q25" s="39" t="s">
        <v>80</v>
      </c>
      <c r="R25" s="40" t="n">
        <v>3</v>
      </c>
      <c r="S25" s="40" t="n">
        <v>4</v>
      </c>
    </row>
    <row r="26" customFormat="false" ht="15" hidden="true" customHeight="true" outlineLevel="1" collapsed="false">
      <c r="A26" s="44"/>
      <c r="B26" s="45"/>
      <c r="C26" s="46" t="n">
        <v>0</v>
      </c>
      <c r="D26" s="47" t="n">
        <v>0</v>
      </c>
      <c r="E26" s="45"/>
      <c r="F26" s="46"/>
      <c r="G26" s="46"/>
      <c r="H26" s="47"/>
      <c r="I26" s="48"/>
      <c r="J26" s="49"/>
      <c r="K26" s="50"/>
      <c r="L26" s="50"/>
      <c r="M26" s="51" t="s">
        <v>81</v>
      </c>
      <c r="N26" s="45" t="n">
        <v>4</v>
      </c>
      <c r="O26" s="46" t="n">
        <v>4</v>
      </c>
      <c r="P26" s="54" t="s">
        <v>82</v>
      </c>
      <c r="Q26" s="55"/>
    </row>
    <row r="27" customFormat="false" ht="15" hidden="true" customHeight="true" outlineLevel="1" collapsed="false">
      <c r="A27" s="44"/>
      <c r="B27" s="45"/>
      <c r="C27" s="46"/>
      <c r="D27" s="47" t="s">
        <v>50</v>
      </c>
      <c r="E27" s="45"/>
      <c r="F27" s="46"/>
      <c r="G27" s="46"/>
      <c r="H27" s="47"/>
      <c r="I27" s="48"/>
      <c r="J27" s="49"/>
      <c r="K27" s="50"/>
      <c r="L27" s="60" t="s">
        <v>83</v>
      </c>
      <c r="M27" s="61" t="s">
        <v>84</v>
      </c>
      <c r="N27" s="57" t="n">
        <v>4</v>
      </c>
      <c r="O27" s="58" t="n">
        <v>4</v>
      </c>
      <c r="P27" s="62" t="s">
        <v>85</v>
      </c>
      <c r="Q27" s="55"/>
    </row>
    <row r="28" customFormat="false" ht="15" hidden="true" customHeight="true" outlineLevel="1" collapsed="false">
      <c r="A28" s="56"/>
      <c r="B28" s="57"/>
      <c r="C28" s="73" t="s">
        <v>50</v>
      </c>
      <c r="D28" s="59"/>
      <c r="E28" s="57"/>
      <c r="F28" s="58"/>
      <c r="G28" s="58"/>
      <c r="H28" s="59"/>
      <c r="I28" s="48"/>
      <c r="J28" s="49"/>
      <c r="K28" s="60"/>
      <c r="L28" s="60" t="s">
        <v>83</v>
      </c>
      <c r="M28" s="61" t="s">
        <v>86</v>
      </c>
      <c r="N28" s="57"/>
      <c r="O28" s="58"/>
      <c r="P28" s="62"/>
      <c r="Q28" s="63"/>
    </row>
    <row r="29" customFormat="false" ht="14.25" hidden="false" customHeight="false" outlineLevel="0" collapsed="false">
      <c r="A29" s="30" t="s">
        <v>47</v>
      </c>
      <c r="B29" s="31" t="str">
        <f aca="false">IF(COUNTA(B30:B32)&gt;0,"z","")</f>
        <v/>
      </c>
      <c r="C29" s="32" t="str">
        <f aca="false">IF(COUNTA(C30:C32)&gt;0,"y","")</f>
        <v/>
      </c>
      <c r="D29" s="33" t="str">
        <f aca="false">IF(COUNTA(D30:D32)&gt;0,"x","")</f>
        <v/>
      </c>
      <c r="E29" s="31" t="n">
        <v>1</v>
      </c>
      <c r="F29" s="32" t="n">
        <v>1</v>
      </c>
      <c r="G29" s="32" t="n">
        <v>1</v>
      </c>
      <c r="H29" s="33" t="n">
        <v>0</v>
      </c>
      <c r="I29" s="34" t="n">
        <f aca="false">SUM(E29*8,F29*4,G29*2,H29)</f>
        <v>14</v>
      </c>
      <c r="J29" s="35" t="str">
        <f aca="false">IF(I29&lt;=9,I29,CHAR(I29-10+CODE("A")))</f>
        <v>E</v>
      </c>
      <c r="K29" s="36"/>
      <c r="L29" s="36"/>
      <c r="M29" s="37"/>
      <c r="N29" s="42"/>
      <c r="O29" s="43"/>
      <c r="P29" s="38"/>
      <c r="Q29" s="39"/>
      <c r="R29" s="40"/>
      <c r="S29" s="40"/>
    </row>
    <row r="30" customFormat="false" ht="15" hidden="true" customHeight="true" outlineLevel="1" collapsed="false">
      <c r="A30" s="44"/>
      <c r="B30" s="45"/>
      <c r="C30" s="46"/>
      <c r="D30" s="47"/>
      <c r="E30" s="45"/>
      <c r="F30" s="46"/>
      <c r="G30" s="46"/>
      <c r="H30" s="47"/>
      <c r="I30" s="48"/>
      <c r="J30" s="49"/>
      <c r="K30" s="50"/>
      <c r="L30" s="50"/>
      <c r="M30" s="51"/>
      <c r="N30" s="52"/>
      <c r="O30" s="53"/>
      <c r="P30" s="54"/>
      <c r="Q30" s="55"/>
    </row>
    <row r="31" customFormat="false" ht="15" hidden="true" customHeight="true" outlineLevel="1" collapsed="false">
      <c r="A31" s="44"/>
      <c r="B31" s="45"/>
      <c r="C31" s="53"/>
      <c r="D31" s="47"/>
      <c r="E31" s="45"/>
      <c r="F31" s="46"/>
      <c r="G31" s="46"/>
      <c r="H31" s="47"/>
      <c r="I31" s="48"/>
      <c r="J31" s="49"/>
      <c r="K31" s="50"/>
      <c r="L31" s="50"/>
      <c r="M31" s="51"/>
      <c r="N31" s="52"/>
      <c r="O31" s="53"/>
      <c r="P31" s="54"/>
      <c r="Q31" s="55"/>
    </row>
    <row r="32" customFormat="false" ht="15" hidden="true" customHeight="true" outlineLevel="1" collapsed="false">
      <c r="A32" s="74"/>
      <c r="B32" s="75"/>
      <c r="C32" s="76"/>
      <c r="D32" s="77"/>
      <c r="E32" s="78"/>
      <c r="F32" s="76"/>
      <c r="G32" s="76"/>
      <c r="H32" s="77"/>
      <c r="I32" s="48"/>
      <c r="J32" s="49"/>
      <c r="K32" s="79"/>
      <c r="L32" s="79"/>
      <c r="M32" s="80"/>
      <c r="N32" s="75"/>
      <c r="O32" s="76"/>
      <c r="P32" s="81"/>
      <c r="Q32" s="82"/>
    </row>
    <row r="33" customFormat="false" ht="14.25" hidden="false" customHeight="false" outlineLevel="0" collapsed="false">
      <c r="A33" s="30" t="s">
        <v>47</v>
      </c>
      <c r="B33" s="31" t="str">
        <f aca="false">IF(COUNTA(B34)&gt;0,"z","")</f>
        <v/>
      </c>
      <c r="C33" s="32" t="str">
        <f aca="false">IF(COUNTA(C34)&gt;0,"y","")</f>
        <v/>
      </c>
      <c r="D33" s="33" t="str">
        <f aca="false">IF(COUNTA(D34)&gt;0,"x","")</f>
        <v/>
      </c>
      <c r="E33" s="31" t="n">
        <v>0</v>
      </c>
      <c r="F33" s="32" t="n">
        <v>0</v>
      </c>
      <c r="G33" s="32" t="n">
        <v>0</v>
      </c>
      <c r="H33" s="33" t="n">
        <v>1</v>
      </c>
      <c r="I33" s="34" t="n">
        <f aca="false">SUM(E33*8,F33*4,G33*2,H33)</f>
        <v>1</v>
      </c>
      <c r="J33" s="35" t="n">
        <f aca="false">IF(I33&lt;=9,I33,CHAR(I33-10+CODE("A")))</f>
        <v>1</v>
      </c>
      <c r="K33" s="36" t="s">
        <v>87</v>
      </c>
      <c r="L33" s="36"/>
      <c r="M33" s="37"/>
      <c r="N33" s="42" t="n">
        <f aca="false">1+SUM(N34)</f>
        <v>5</v>
      </c>
      <c r="O33" s="43" t="n">
        <f aca="false">1+SUM(O34)</f>
        <v>5</v>
      </c>
      <c r="P33" s="38"/>
      <c r="Q33" s="39" t="s">
        <v>88</v>
      </c>
      <c r="R33" s="40" t="n">
        <v>3</v>
      </c>
      <c r="S33" s="40" t="n">
        <v>0</v>
      </c>
    </row>
    <row r="34" customFormat="false" ht="15" hidden="true" customHeight="true" outlineLevel="1" collapsed="false">
      <c r="A34" s="74"/>
      <c r="B34" s="78"/>
      <c r="C34" s="76"/>
      <c r="D34" s="92"/>
      <c r="E34" s="78"/>
      <c r="F34" s="76"/>
      <c r="G34" s="76"/>
      <c r="H34" s="77"/>
      <c r="I34" s="48"/>
      <c r="J34" s="49"/>
      <c r="K34" s="79"/>
      <c r="L34" s="79"/>
      <c r="M34" s="80"/>
      <c r="N34" s="75" t="n">
        <v>4</v>
      </c>
      <c r="O34" s="76" t="n">
        <v>4</v>
      </c>
      <c r="P34" s="81" t="s">
        <v>89</v>
      </c>
      <c r="Q34" s="82"/>
    </row>
    <row r="35" customFormat="false" ht="14.25" hidden="false" customHeight="false" outlineLevel="0" collapsed="false">
      <c r="A35" s="30" t="s">
        <v>47</v>
      </c>
      <c r="B35" s="31" t="str">
        <f aca="false">IF(COUNTA(B36:B40)&gt;0,"z","")</f>
        <v>z</v>
      </c>
      <c r="C35" s="32" t="str">
        <f aca="false">IF(COUNTA(C36:C40)&gt;0,"y","")</f>
        <v>y</v>
      </c>
      <c r="D35" s="33" t="str">
        <f aca="false">IF(COUNTA(D36:D40)&gt;0,"x","")</f>
        <v>x</v>
      </c>
      <c r="E35" s="31" t="n">
        <v>1</v>
      </c>
      <c r="F35" s="32" t="n">
        <v>0</v>
      </c>
      <c r="G35" s="32" t="n">
        <v>0</v>
      </c>
      <c r="H35" s="33" t="n">
        <v>1</v>
      </c>
      <c r="I35" s="34" t="n">
        <f aca="false">SUM(E35*8,F35*4,G35*2,H35)</f>
        <v>9</v>
      </c>
      <c r="J35" s="35" t="n">
        <f aca="false">IF(I35&lt;=9,I35,CHAR(I35-10+CODE("A")))</f>
        <v>9</v>
      </c>
      <c r="K35" s="36" t="s">
        <v>90</v>
      </c>
      <c r="L35" s="36"/>
      <c r="M35" s="41"/>
      <c r="N35" s="42" t="n">
        <v>5</v>
      </c>
      <c r="O35" s="43" t="s">
        <v>91</v>
      </c>
      <c r="P35" s="38"/>
      <c r="Q35" s="39" t="s">
        <v>88</v>
      </c>
      <c r="R35" s="40" t="n">
        <v>3</v>
      </c>
      <c r="S35" s="40" t="n">
        <v>4</v>
      </c>
    </row>
    <row r="36" customFormat="false" ht="15" hidden="true" customHeight="true" outlineLevel="1" collapsed="false">
      <c r="A36" s="44"/>
      <c r="B36" s="45"/>
      <c r="C36" s="53"/>
      <c r="D36" s="47" t="s">
        <v>50</v>
      </c>
      <c r="E36" s="45"/>
      <c r="F36" s="46"/>
      <c r="G36" s="46"/>
      <c r="H36" s="47"/>
      <c r="I36" s="48"/>
      <c r="J36" s="49"/>
      <c r="K36" s="50"/>
      <c r="L36" s="101"/>
      <c r="M36" s="51" t="s">
        <v>92</v>
      </c>
      <c r="N36" s="45"/>
      <c r="O36" s="53"/>
      <c r="P36" s="54"/>
      <c r="Q36" s="55"/>
    </row>
    <row r="37" customFormat="false" ht="15" hidden="true" customHeight="true" outlineLevel="1" collapsed="false">
      <c r="A37" s="56"/>
      <c r="B37" s="57"/>
      <c r="C37" s="73" t="s">
        <v>50</v>
      </c>
      <c r="D37" s="59"/>
      <c r="E37" s="57"/>
      <c r="F37" s="58"/>
      <c r="G37" s="58"/>
      <c r="H37" s="59"/>
      <c r="I37" s="48"/>
      <c r="J37" s="49"/>
      <c r="K37" s="60"/>
      <c r="L37" s="60"/>
      <c r="M37" s="61" t="s">
        <v>93</v>
      </c>
      <c r="N37" s="57"/>
      <c r="O37" s="73" t="s">
        <v>67</v>
      </c>
      <c r="P37" s="62" t="s">
        <v>94</v>
      </c>
      <c r="Q37" s="63"/>
    </row>
    <row r="38" customFormat="false" ht="15" hidden="true" customHeight="true" outlineLevel="1" collapsed="false">
      <c r="A38" s="56"/>
      <c r="B38" s="57"/>
      <c r="C38" s="73"/>
      <c r="D38" s="59"/>
      <c r="E38" s="57"/>
      <c r="F38" s="58"/>
      <c r="G38" s="58"/>
      <c r="H38" s="59"/>
      <c r="I38" s="48"/>
      <c r="J38" s="49"/>
      <c r="K38" s="60"/>
      <c r="L38" s="60" t="s">
        <v>95</v>
      </c>
      <c r="M38" s="61"/>
      <c r="N38" s="57"/>
      <c r="O38" s="73" t="n">
        <v>4</v>
      </c>
      <c r="P38" s="62" t="s">
        <v>96</v>
      </c>
      <c r="Q38" s="63"/>
    </row>
    <row r="39" customFormat="false" ht="15" hidden="true" customHeight="true" outlineLevel="1" collapsed="false">
      <c r="A39" s="56"/>
      <c r="B39" s="57"/>
      <c r="C39" s="73"/>
      <c r="D39" s="59"/>
      <c r="E39" s="57"/>
      <c r="F39" s="58"/>
      <c r="G39" s="58"/>
      <c r="H39" s="59"/>
      <c r="I39" s="48"/>
      <c r="J39" s="49"/>
      <c r="K39" s="60"/>
      <c r="L39" s="60" t="s">
        <v>97</v>
      </c>
      <c r="M39" s="61"/>
      <c r="N39" s="57"/>
      <c r="O39" s="73" t="n">
        <v>16</v>
      </c>
      <c r="P39" s="62" t="s">
        <v>98</v>
      </c>
      <c r="Q39" s="63"/>
    </row>
    <row r="40" customFormat="false" ht="15" hidden="true" customHeight="true" outlineLevel="1" collapsed="false">
      <c r="A40" s="74"/>
      <c r="B40" s="75" t="s">
        <v>50</v>
      </c>
      <c r="C40" s="76"/>
      <c r="D40" s="92"/>
      <c r="E40" s="78"/>
      <c r="F40" s="76"/>
      <c r="G40" s="76"/>
      <c r="H40" s="77"/>
      <c r="I40" s="48"/>
      <c r="J40" s="49"/>
      <c r="K40" s="79"/>
      <c r="L40" s="79"/>
      <c r="M40" s="80" t="s">
        <v>99</v>
      </c>
      <c r="N40" s="78"/>
      <c r="O40" s="76" t="n">
        <v>2</v>
      </c>
      <c r="P40" s="81" t="s">
        <v>100</v>
      </c>
      <c r="Q40" s="82"/>
    </row>
    <row r="41" customFormat="false" ht="14.25" hidden="false" customHeight="false" outlineLevel="0" collapsed="false">
      <c r="A41" s="30" t="s">
        <v>47</v>
      </c>
      <c r="B41" s="31" t="str">
        <f aca="false">IF(COUNTA(B42)&gt;0,"z","")</f>
        <v/>
      </c>
      <c r="C41" s="32" t="str">
        <f aca="false">IF(COUNTA(C42)&gt;0,"y","")</f>
        <v/>
      </c>
      <c r="D41" s="33" t="str">
        <f aca="false">IF(COUNTA(D42)&gt;0,"x","")</f>
        <v/>
      </c>
      <c r="E41" s="31" t="n">
        <v>0</v>
      </c>
      <c r="F41" s="32" t="n">
        <v>1</v>
      </c>
      <c r="G41" s="32" t="n">
        <v>0</v>
      </c>
      <c r="H41" s="33" t="n">
        <v>1</v>
      </c>
      <c r="I41" s="34" t="n">
        <f aca="false">SUM(E41*8,F41*4,G41*2,H41)</f>
        <v>5</v>
      </c>
      <c r="J41" s="35" t="n">
        <f aca="false">IF(I41&lt;=9,I41,CHAR(I41-10+CODE("A")))</f>
        <v>5</v>
      </c>
      <c r="K41" s="41"/>
      <c r="L41" s="36"/>
      <c r="M41" s="37"/>
      <c r="N41" s="42"/>
      <c r="O41" s="43"/>
      <c r="P41" s="102"/>
      <c r="Q41" s="39"/>
      <c r="R41" s="40"/>
      <c r="S41" s="40"/>
    </row>
    <row r="42" customFormat="false" ht="15" hidden="true" customHeight="true" outlineLevel="1" collapsed="false">
      <c r="A42" s="74"/>
      <c r="B42" s="75"/>
      <c r="C42" s="76"/>
      <c r="D42" s="92"/>
      <c r="E42" s="78"/>
      <c r="F42" s="76"/>
      <c r="G42" s="76"/>
      <c r="H42" s="77"/>
      <c r="I42" s="48"/>
      <c r="J42" s="49"/>
      <c r="K42" s="103"/>
      <c r="L42" s="79"/>
      <c r="M42" s="80"/>
      <c r="N42" s="78"/>
      <c r="O42" s="76"/>
      <c r="P42" s="104"/>
      <c r="Q42" s="82"/>
    </row>
    <row r="43" customFormat="false" ht="14.25" hidden="false" customHeight="false" outlineLevel="0" collapsed="false">
      <c r="A43" s="30" t="s">
        <v>47</v>
      </c>
      <c r="B43" s="31" t="str">
        <f aca="false">IF(COUNTA(B44:B48)&gt;0,"z","")</f>
        <v/>
      </c>
      <c r="C43" s="32" t="str">
        <f aca="false">IF(COUNTA(C44:C48)&gt;0,"y","")</f>
        <v/>
      </c>
      <c r="D43" s="33" t="str">
        <f aca="false">IF(COUNTA(D44:D48)&gt;0,"x","")</f>
        <v/>
      </c>
      <c r="E43" s="31" t="n">
        <v>1</v>
      </c>
      <c r="F43" s="32" t="n">
        <v>1</v>
      </c>
      <c r="G43" s="32" t="n">
        <v>0</v>
      </c>
      <c r="H43" s="33" t="n">
        <v>1</v>
      </c>
      <c r="I43" s="34" t="n">
        <f aca="false">SUM(E43*8,F43*4,G43*2,H43)</f>
        <v>13</v>
      </c>
      <c r="J43" s="35" t="str">
        <f aca="false">IF(I43&lt;=9,I43,CHAR(I43-10+CODE("A")))</f>
        <v>D</v>
      </c>
      <c r="K43" s="36"/>
      <c r="L43" s="36"/>
      <c r="M43" s="37"/>
      <c r="N43" s="42"/>
      <c r="O43" s="43"/>
      <c r="P43" s="38"/>
      <c r="Q43" s="39"/>
      <c r="R43" s="40"/>
      <c r="S43" s="40"/>
    </row>
    <row r="44" customFormat="false" ht="15" hidden="true" customHeight="true" outlineLevel="1" collapsed="false">
      <c r="A44" s="56"/>
      <c r="B44" s="57"/>
      <c r="C44" s="73"/>
      <c r="D44" s="59"/>
      <c r="E44" s="57"/>
      <c r="F44" s="58"/>
      <c r="G44" s="58"/>
      <c r="H44" s="59"/>
      <c r="I44" s="48"/>
      <c r="J44" s="49"/>
      <c r="K44" s="60"/>
      <c r="L44" s="60"/>
      <c r="M44" s="61"/>
      <c r="N44" s="57"/>
      <c r="O44" s="73"/>
      <c r="P44" s="62"/>
      <c r="Q44" s="63"/>
    </row>
    <row r="45" customFormat="false" ht="15" hidden="true" customHeight="true" outlineLevel="1" collapsed="false">
      <c r="A45" s="56"/>
      <c r="B45" s="57"/>
      <c r="C45" s="73"/>
      <c r="D45" s="59"/>
      <c r="E45" s="57"/>
      <c r="F45" s="58"/>
      <c r="G45" s="58"/>
      <c r="H45" s="59"/>
      <c r="I45" s="48"/>
      <c r="J45" s="49"/>
      <c r="K45" s="60"/>
      <c r="L45" s="60"/>
      <c r="M45" s="61"/>
      <c r="N45" s="57"/>
      <c r="O45" s="73"/>
      <c r="P45" s="62"/>
      <c r="Q45" s="63"/>
    </row>
    <row r="46" customFormat="false" ht="15" hidden="true" customHeight="true" outlineLevel="1" collapsed="false">
      <c r="A46" s="56"/>
      <c r="B46" s="57"/>
      <c r="C46" s="73"/>
      <c r="D46" s="59"/>
      <c r="E46" s="57"/>
      <c r="F46" s="58"/>
      <c r="G46" s="58"/>
      <c r="H46" s="59"/>
      <c r="I46" s="48"/>
      <c r="J46" s="49"/>
      <c r="K46" s="60"/>
      <c r="L46" s="60"/>
      <c r="M46" s="61"/>
      <c r="N46" s="57"/>
      <c r="O46" s="73"/>
      <c r="P46" s="62"/>
      <c r="Q46" s="63"/>
    </row>
    <row r="47" customFormat="false" ht="15" hidden="true" customHeight="true" outlineLevel="1" collapsed="false">
      <c r="A47" s="56"/>
      <c r="B47" s="57"/>
      <c r="C47" s="73"/>
      <c r="D47" s="59"/>
      <c r="E47" s="57"/>
      <c r="F47" s="58"/>
      <c r="G47" s="58"/>
      <c r="H47" s="59"/>
      <c r="I47" s="48"/>
      <c r="J47" s="49"/>
      <c r="K47" s="60"/>
      <c r="L47" s="60"/>
      <c r="M47" s="61"/>
      <c r="N47" s="57"/>
      <c r="O47" s="73"/>
      <c r="P47" s="62"/>
      <c r="Q47" s="63"/>
    </row>
    <row r="48" customFormat="false" ht="15" hidden="true" customHeight="true" outlineLevel="1" collapsed="false">
      <c r="A48" s="74"/>
      <c r="B48" s="75"/>
      <c r="C48" s="76"/>
      <c r="D48" s="77"/>
      <c r="E48" s="78"/>
      <c r="F48" s="76"/>
      <c r="G48" s="76"/>
      <c r="H48" s="77"/>
      <c r="I48" s="48"/>
      <c r="J48" s="49"/>
      <c r="K48" s="79"/>
      <c r="L48" s="79"/>
      <c r="M48" s="80"/>
      <c r="N48" s="78"/>
      <c r="O48" s="76"/>
      <c r="P48" s="81"/>
      <c r="Q48" s="82"/>
    </row>
    <row r="49" customFormat="false" ht="14.25" hidden="false" customHeight="false" outlineLevel="0" collapsed="false">
      <c r="A49" s="30" t="s">
        <v>47</v>
      </c>
      <c r="B49" s="31" t="str">
        <f aca="false">IF(COUNTA(B50:B57)&gt;0,"z","")</f>
        <v>z</v>
      </c>
      <c r="C49" s="32" t="str">
        <f aca="false">IF(COUNTA(C50:C57)&gt;0,"y","")</f>
        <v>y</v>
      </c>
      <c r="D49" s="33" t="str">
        <f aca="false">IF(COUNTA(D50:D57)&gt;0,"x","")</f>
        <v>x</v>
      </c>
      <c r="E49" s="31" t="n">
        <v>0</v>
      </c>
      <c r="F49" s="32" t="n">
        <v>0</v>
      </c>
      <c r="G49" s="32" t="n">
        <v>1</v>
      </c>
      <c r="H49" s="33" t="n">
        <v>1</v>
      </c>
      <c r="I49" s="34" t="n">
        <f aca="false">SUM(E49*8,F49*4,G49*2,H49)</f>
        <v>3</v>
      </c>
      <c r="J49" s="35" t="n">
        <f aca="false">IF(I49&lt;=9,I49,CHAR(I49-10+CODE("A")))</f>
        <v>3</v>
      </c>
      <c r="K49" s="36" t="s">
        <v>101</v>
      </c>
      <c r="L49" s="36"/>
      <c r="M49" s="37"/>
      <c r="N49" s="42" t="n">
        <v>9</v>
      </c>
      <c r="O49" s="43" t="n">
        <v>9</v>
      </c>
      <c r="P49" s="38"/>
      <c r="Q49" s="39" t="s">
        <v>49</v>
      </c>
      <c r="R49" s="40" t="n">
        <v>3</v>
      </c>
      <c r="S49" s="40" t="n">
        <v>4</v>
      </c>
    </row>
    <row r="50" customFormat="false" ht="15" hidden="true" customHeight="true" outlineLevel="1" collapsed="false">
      <c r="A50" s="44"/>
      <c r="B50" s="52"/>
      <c r="C50" s="53"/>
      <c r="D50" s="47" t="s">
        <v>50</v>
      </c>
      <c r="E50" s="45"/>
      <c r="F50" s="46"/>
      <c r="G50" s="46"/>
      <c r="H50" s="47"/>
      <c r="I50" s="48"/>
      <c r="J50" s="49"/>
      <c r="K50" s="50"/>
      <c r="L50" s="50"/>
      <c r="M50" s="51" t="s">
        <v>102</v>
      </c>
      <c r="N50" s="45"/>
      <c r="O50" s="46"/>
      <c r="P50" s="54"/>
      <c r="Q50" s="55"/>
    </row>
    <row r="51" customFormat="false" ht="15" hidden="true" customHeight="true" outlineLevel="1" collapsed="false">
      <c r="A51" s="44"/>
      <c r="B51" s="52"/>
      <c r="C51" s="53" t="s">
        <v>50</v>
      </c>
      <c r="D51" s="47"/>
      <c r="E51" s="45"/>
      <c r="F51" s="46"/>
      <c r="G51" s="46"/>
      <c r="H51" s="47"/>
      <c r="I51" s="48"/>
      <c r="J51" s="49"/>
      <c r="K51" s="50"/>
      <c r="L51" s="50"/>
      <c r="M51" s="51" t="s">
        <v>103</v>
      </c>
      <c r="N51" s="45"/>
      <c r="O51" s="46"/>
      <c r="P51" s="54"/>
      <c r="Q51" s="55"/>
    </row>
    <row r="52" customFormat="false" ht="15" hidden="true" customHeight="true" outlineLevel="1" collapsed="false">
      <c r="A52" s="44"/>
      <c r="B52" s="52" t="s">
        <v>50</v>
      </c>
      <c r="C52" s="53"/>
      <c r="D52" s="47"/>
      <c r="E52" s="45"/>
      <c r="F52" s="46"/>
      <c r="G52" s="46"/>
      <c r="H52" s="47"/>
      <c r="I52" s="48"/>
      <c r="J52" s="49"/>
      <c r="K52" s="50"/>
      <c r="L52" s="50" t="s">
        <v>104</v>
      </c>
      <c r="M52" s="51" t="s">
        <v>105</v>
      </c>
      <c r="N52" s="45"/>
      <c r="O52" s="46"/>
      <c r="P52" s="54"/>
      <c r="Q52" s="55"/>
    </row>
    <row r="53" customFormat="false" ht="15" hidden="true" customHeight="true" outlineLevel="1" collapsed="false">
      <c r="A53" s="44"/>
      <c r="B53" s="52" t="s">
        <v>50</v>
      </c>
      <c r="C53" s="53"/>
      <c r="D53" s="47"/>
      <c r="E53" s="45"/>
      <c r="F53" s="46"/>
      <c r="G53" s="46"/>
      <c r="H53" s="47"/>
      <c r="I53" s="48"/>
      <c r="J53" s="49"/>
      <c r="K53" s="50"/>
      <c r="L53" s="50" t="s">
        <v>106</v>
      </c>
      <c r="M53" s="51" t="s">
        <v>107</v>
      </c>
      <c r="N53" s="45"/>
      <c r="O53" s="46"/>
      <c r="P53" s="54"/>
      <c r="Q53" s="55"/>
    </row>
    <row r="54" customFormat="false" ht="15" hidden="true" customHeight="true" outlineLevel="1" collapsed="false">
      <c r="A54" s="44"/>
      <c r="B54" s="52" t="s">
        <v>50</v>
      </c>
      <c r="C54" s="53"/>
      <c r="D54" s="47"/>
      <c r="E54" s="45"/>
      <c r="F54" s="46"/>
      <c r="G54" s="46"/>
      <c r="H54" s="47"/>
      <c r="I54" s="48"/>
      <c r="J54" s="49"/>
      <c r="K54" s="50"/>
      <c r="L54" s="50" t="s">
        <v>102</v>
      </c>
      <c r="M54" s="51" t="s">
        <v>108</v>
      </c>
      <c r="N54" s="45"/>
      <c r="O54" s="46"/>
      <c r="P54" s="54"/>
      <c r="Q54" s="55"/>
    </row>
    <row r="55" customFormat="false" ht="15" hidden="true" customHeight="true" outlineLevel="1" collapsed="false">
      <c r="A55" s="44"/>
      <c r="B55" s="52"/>
      <c r="C55" s="46"/>
      <c r="D55" s="47"/>
      <c r="E55" s="45"/>
      <c r="F55" s="46"/>
      <c r="G55" s="46"/>
      <c r="H55" s="47"/>
      <c r="I55" s="48"/>
      <c r="J55" s="49"/>
      <c r="K55" s="50"/>
      <c r="L55" s="50" t="s">
        <v>109</v>
      </c>
      <c r="M55" s="51"/>
      <c r="N55" s="45" t="n">
        <v>4</v>
      </c>
      <c r="O55" s="46" t="n">
        <v>4</v>
      </c>
      <c r="P55" s="54" t="s">
        <v>110</v>
      </c>
      <c r="Q55" s="55"/>
    </row>
    <row r="56" customFormat="false" ht="15" hidden="true" customHeight="true" outlineLevel="1" collapsed="false">
      <c r="A56" s="44"/>
      <c r="B56" s="52"/>
      <c r="C56" s="53"/>
      <c r="D56" s="47"/>
      <c r="E56" s="45"/>
      <c r="F56" s="46"/>
      <c r="G56" s="46"/>
      <c r="H56" s="47"/>
      <c r="I56" s="48"/>
      <c r="J56" s="49"/>
      <c r="K56" s="50"/>
      <c r="L56" s="50" t="s">
        <v>111</v>
      </c>
      <c r="M56" s="51"/>
      <c r="N56" s="45" t="n">
        <v>4</v>
      </c>
      <c r="O56" s="46" t="n">
        <v>4</v>
      </c>
      <c r="P56" s="54" t="s">
        <v>112</v>
      </c>
      <c r="Q56" s="55"/>
    </row>
    <row r="57" customFormat="false" ht="15" hidden="true" customHeight="true" outlineLevel="1" collapsed="false">
      <c r="A57" s="74"/>
      <c r="B57" s="78"/>
      <c r="C57" s="76"/>
      <c r="D57" s="92"/>
      <c r="E57" s="78"/>
      <c r="F57" s="76"/>
      <c r="G57" s="76"/>
      <c r="H57" s="77"/>
      <c r="I57" s="48"/>
      <c r="J57" s="49"/>
      <c r="K57" s="79"/>
      <c r="L57" s="79" t="s">
        <v>113</v>
      </c>
      <c r="M57" s="80"/>
      <c r="N57" s="75" t="n">
        <v>4</v>
      </c>
      <c r="O57" s="76" t="n">
        <v>4</v>
      </c>
      <c r="P57" s="81" t="s">
        <v>114</v>
      </c>
      <c r="Q57" s="82"/>
    </row>
    <row r="58" customFormat="false" ht="14.25" hidden="false" customHeight="false" outlineLevel="0" collapsed="false">
      <c r="A58" s="30" t="s">
        <v>47</v>
      </c>
      <c r="B58" s="31" t="str">
        <f aca="false">IF(COUNTA(B59:B61)&gt;0,"z","")</f>
        <v/>
      </c>
      <c r="C58" s="32" t="str">
        <f aca="false">IF(COUNTA(C59:C61)&gt;0,"y","")</f>
        <v/>
      </c>
      <c r="D58" s="33" t="str">
        <f aca="false">IF(COUNTA(D59:D61)&gt;0,"x","")</f>
        <v/>
      </c>
      <c r="E58" s="31" t="n">
        <v>1</v>
      </c>
      <c r="F58" s="32" t="n">
        <v>0</v>
      </c>
      <c r="G58" s="32" t="n">
        <v>1</v>
      </c>
      <c r="H58" s="33" t="n">
        <v>1</v>
      </c>
      <c r="I58" s="34" t="n">
        <f aca="false">SUM(E58*8,F58*4,G58*2,H58)</f>
        <v>11</v>
      </c>
      <c r="J58" s="35" t="str">
        <f aca="false">IF(I58&lt;=9,I58,CHAR(I58-10+CODE("A")))</f>
        <v>B</v>
      </c>
      <c r="K58" s="36" t="s">
        <v>115</v>
      </c>
      <c r="L58" s="36"/>
      <c r="M58" s="37"/>
      <c r="N58" s="42" t="s">
        <v>63</v>
      </c>
      <c r="O58" s="43" t="s">
        <v>63</v>
      </c>
      <c r="P58" s="38"/>
      <c r="Q58" s="39" t="s">
        <v>60</v>
      </c>
      <c r="R58" s="40" t="n">
        <v>1</v>
      </c>
      <c r="S58" s="40" t="n">
        <v>0</v>
      </c>
    </row>
    <row r="59" customFormat="false" ht="15" hidden="true" customHeight="true" outlineLevel="1" collapsed="false">
      <c r="A59" s="44"/>
      <c r="B59" s="45"/>
      <c r="C59" s="46"/>
      <c r="D59" s="47"/>
      <c r="E59" s="45"/>
      <c r="F59" s="46"/>
      <c r="G59" s="46"/>
      <c r="H59" s="47"/>
      <c r="I59" s="48"/>
      <c r="J59" s="49"/>
      <c r="K59" s="50"/>
      <c r="L59" s="50"/>
      <c r="M59" s="51" t="s">
        <v>116</v>
      </c>
      <c r="N59" s="45"/>
      <c r="O59" s="46"/>
      <c r="P59" s="54"/>
      <c r="Q59" s="55"/>
    </row>
    <row r="60" customFormat="false" ht="15" hidden="true" customHeight="true" outlineLevel="1" collapsed="false">
      <c r="A60" s="44"/>
      <c r="B60" s="45"/>
      <c r="C60" s="46"/>
      <c r="D60" s="47"/>
      <c r="E60" s="45"/>
      <c r="F60" s="46"/>
      <c r="G60" s="46"/>
      <c r="H60" s="47"/>
      <c r="I60" s="48"/>
      <c r="J60" s="49"/>
      <c r="K60" s="50"/>
      <c r="L60" s="50"/>
      <c r="M60" s="51" t="s">
        <v>117</v>
      </c>
      <c r="N60" s="45"/>
      <c r="O60" s="46"/>
      <c r="P60" s="54"/>
      <c r="Q60" s="55"/>
    </row>
    <row r="61" customFormat="false" ht="15" hidden="true" customHeight="true" outlineLevel="1" collapsed="false">
      <c r="A61" s="74"/>
      <c r="B61" s="78"/>
      <c r="C61" s="76"/>
      <c r="D61" s="77"/>
      <c r="E61" s="78"/>
      <c r="F61" s="76"/>
      <c r="G61" s="76"/>
      <c r="H61" s="77"/>
      <c r="I61" s="48"/>
      <c r="J61" s="49"/>
      <c r="K61" s="79"/>
      <c r="L61" s="79"/>
      <c r="M61" s="80" t="s">
        <v>118</v>
      </c>
      <c r="N61" s="78"/>
      <c r="O61" s="76"/>
      <c r="P61" s="81" t="s">
        <v>119</v>
      </c>
      <c r="Q61" s="82"/>
    </row>
    <row r="62" customFormat="false" ht="14.25" hidden="false" customHeight="false" outlineLevel="0" collapsed="false">
      <c r="A62" s="30" t="s">
        <v>47</v>
      </c>
      <c r="B62" s="31" t="str">
        <f aca="false">IF(COUNTA(B63:B65)&gt;0,"z","")</f>
        <v/>
      </c>
      <c r="C62" s="32" t="str">
        <f aca="false">IF(COUNTA(C63:C65)&gt;0,"y","")</f>
        <v/>
      </c>
      <c r="D62" s="33" t="str">
        <f aca="false">IF(COUNTA(D63:D65)&gt;0,"x","")</f>
        <v/>
      </c>
      <c r="E62" s="31" t="n">
        <v>0</v>
      </c>
      <c r="F62" s="32" t="n">
        <v>1</v>
      </c>
      <c r="G62" s="32" t="n">
        <v>1</v>
      </c>
      <c r="H62" s="33" t="n">
        <v>1</v>
      </c>
      <c r="I62" s="34" t="n">
        <f aca="false">SUM(E62*8,F62*4,G62*2,H62)</f>
        <v>7</v>
      </c>
      <c r="J62" s="35" t="n">
        <f aca="false">IF(I62&lt;=9,I62,CHAR(I62-10+CODE("A")))</f>
        <v>7</v>
      </c>
      <c r="K62" s="36" t="s">
        <v>120</v>
      </c>
      <c r="L62" s="36"/>
      <c r="M62" s="41"/>
      <c r="N62" s="42" t="n">
        <f aca="false">1+SUM(N63:N65)</f>
        <v>5</v>
      </c>
      <c r="O62" s="43" t="n">
        <f aca="false">1+SUM(O63:O65)</f>
        <v>5</v>
      </c>
      <c r="P62" s="38"/>
      <c r="Q62" s="39" t="s">
        <v>60</v>
      </c>
      <c r="R62" s="40" t="n">
        <v>1</v>
      </c>
      <c r="S62" s="40" t="n">
        <v>1</v>
      </c>
    </row>
    <row r="63" customFormat="false" ht="15" hidden="true" customHeight="true" outlineLevel="1" collapsed="false">
      <c r="A63" s="44"/>
      <c r="B63" s="45"/>
      <c r="C63" s="46"/>
      <c r="D63" s="47"/>
      <c r="E63" s="45"/>
      <c r="F63" s="46"/>
      <c r="G63" s="46"/>
      <c r="H63" s="47"/>
      <c r="I63" s="48"/>
      <c r="J63" s="49"/>
      <c r="K63" s="50"/>
      <c r="L63" s="101"/>
      <c r="M63" s="51"/>
      <c r="N63" s="45" t="n">
        <v>4</v>
      </c>
      <c r="O63" s="46" t="n">
        <v>4</v>
      </c>
      <c r="P63" s="54" t="s">
        <v>121</v>
      </c>
      <c r="Q63" s="55"/>
    </row>
    <row r="64" customFormat="false" ht="15" hidden="true" customHeight="true" outlineLevel="1" collapsed="false">
      <c r="A64" s="44"/>
      <c r="B64" s="45"/>
      <c r="C64" s="46"/>
      <c r="D64" s="47"/>
      <c r="E64" s="45"/>
      <c r="F64" s="46"/>
      <c r="G64" s="46"/>
      <c r="H64" s="47"/>
      <c r="I64" s="48"/>
      <c r="J64" s="49"/>
      <c r="K64" s="50"/>
      <c r="L64" s="50"/>
      <c r="M64" s="51" t="s">
        <v>116</v>
      </c>
      <c r="N64" s="45"/>
      <c r="O64" s="46"/>
      <c r="P64" s="54"/>
      <c r="Q64" s="55"/>
    </row>
    <row r="65" customFormat="false" ht="15" hidden="true" customHeight="true" outlineLevel="1" collapsed="false">
      <c r="A65" s="44"/>
      <c r="B65" s="52"/>
      <c r="C65" s="53"/>
      <c r="D65" s="47"/>
      <c r="E65" s="45"/>
      <c r="F65" s="46"/>
      <c r="G65" s="46"/>
      <c r="H65" s="47"/>
      <c r="I65" s="48"/>
      <c r="J65" s="49"/>
      <c r="K65" s="50"/>
      <c r="L65" s="50"/>
      <c r="M65" s="51" t="s">
        <v>122</v>
      </c>
      <c r="N65" s="45"/>
      <c r="O65" s="46"/>
      <c r="P65" s="54"/>
      <c r="Q65" s="55"/>
    </row>
    <row r="66" customFormat="false" ht="14.25" hidden="false" customHeight="false" outlineLevel="0" collapsed="false">
      <c r="A66" s="30" t="s">
        <v>47</v>
      </c>
      <c r="B66" s="31" t="str">
        <f aca="false">IF(COUNTA(B67:B70)&gt;0,"z","")</f>
        <v/>
      </c>
      <c r="C66" s="32" t="str">
        <f aca="false">IF(COUNTA(C67:C70)&gt;0,"y","")</f>
        <v/>
      </c>
      <c r="D66" s="33" t="str">
        <f aca="false">IF(COUNTA(D67:D70)&gt;0,"x","")</f>
        <v/>
      </c>
      <c r="E66" s="31" t="n">
        <v>1</v>
      </c>
      <c r="F66" s="32" t="n">
        <v>1</v>
      </c>
      <c r="G66" s="32" t="n">
        <v>1</v>
      </c>
      <c r="H66" s="33" t="n">
        <v>1</v>
      </c>
      <c r="I66" s="34" t="n">
        <f aca="false">SUM(E66*8,F66*4,G66*2,H66)</f>
        <v>15</v>
      </c>
      <c r="J66" s="35" t="str">
        <f aca="false">IF(I66&lt;=9,I66,CHAR(I66-10+CODE("A")))</f>
        <v>F</v>
      </c>
      <c r="K66" s="36"/>
      <c r="L66" s="36"/>
      <c r="M66" s="41"/>
      <c r="N66" s="42"/>
      <c r="O66" s="43"/>
      <c r="P66" s="38"/>
      <c r="Q66" s="39"/>
      <c r="R66" s="40"/>
      <c r="S66" s="40"/>
    </row>
    <row r="67" customFormat="false" ht="15" hidden="true" customHeight="true" outlineLevel="1" collapsed="false">
      <c r="A67" s="44"/>
      <c r="B67" s="45"/>
      <c r="C67" s="46"/>
      <c r="D67" s="47"/>
      <c r="E67" s="45"/>
      <c r="F67" s="46"/>
      <c r="G67" s="46"/>
      <c r="H67" s="47"/>
      <c r="I67" s="48"/>
      <c r="J67" s="49"/>
      <c r="K67" s="50"/>
      <c r="L67" s="50"/>
      <c r="M67" s="51"/>
      <c r="N67" s="45"/>
      <c r="O67" s="46"/>
      <c r="P67" s="54"/>
      <c r="Q67" s="55"/>
    </row>
    <row r="68" customFormat="false" ht="15" hidden="true" customHeight="true" outlineLevel="1" collapsed="false">
      <c r="A68" s="44"/>
      <c r="B68" s="45"/>
      <c r="C68" s="46"/>
      <c r="D68" s="47"/>
      <c r="E68" s="45"/>
      <c r="F68" s="46"/>
      <c r="G68" s="46"/>
      <c r="H68" s="47"/>
      <c r="I68" s="48"/>
      <c r="J68" s="49"/>
      <c r="K68" s="50"/>
      <c r="L68" s="50"/>
      <c r="M68" s="51"/>
      <c r="N68" s="45"/>
      <c r="O68" s="46"/>
      <c r="P68" s="54"/>
      <c r="Q68" s="55"/>
    </row>
    <row r="69" customFormat="false" ht="15" hidden="true" customHeight="true" outlineLevel="1" collapsed="false">
      <c r="A69" s="44"/>
      <c r="B69" s="45"/>
      <c r="C69" s="46"/>
      <c r="D69" s="47"/>
      <c r="E69" s="45"/>
      <c r="F69" s="46"/>
      <c r="G69" s="46"/>
      <c r="H69" s="47"/>
      <c r="I69" s="48"/>
      <c r="J69" s="49"/>
      <c r="K69" s="50"/>
      <c r="L69" s="50"/>
      <c r="M69" s="51"/>
      <c r="N69" s="45"/>
      <c r="O69" s="46"/>
      <c r="P69" s="54"/>
      <c r="Q69" s="55"/>
    </row>
    <row r="70" customFormat="false" ht="15" hidden="true" customHeight="true" outlineLevel="1" collapsed="false">
      <c r="A70" s="74"/>
      <c r="B70" s="78"/>
      <c r="C70" s="76"/>
      <c r="D70" s="77"/>
      <c r="E70" s="78"/>
      <c r="F70" s="76"/>
      <c r="G70" s="76"/>
      <c r="H70" s="77"/>
      <c r="I70" s="48"/>
      <c r="J70" s="49"/>
      <c r="K70" s="79"/>
      <c r="L70" s="79"/>
      <c r="M70" s="80"/>
      <c r="N70" s="75"/>
      <c r="O70" s="76"/>
      <c r="P70" s="81"/>
      <c r="Q70" s="82"/>
    </row>
    <row r="72" customFormat="false" ht="14.25" hidden="false" customHeight="false" outlineLevel="0" collapsed="false">
      <c r="B72" s="2"/>
      <c r="C72" s="2"/>
      <c r="J72" s="105"/>
      <c r="K72" s="3" t="s">
        <v>39</v>
      </c>
      <c r="O72" s="13"/>
      <c r="P72" s="3" t="s">
        <v>123</v>
      </c>
    </row>
    <row r="73" customFormat="false" ht="14.25" hidden="false" customHeight="false" outlineLevel="0" collapsed="false">
      <c r="J73" s="12" t="n">
        <v>0</v>
      </c>
      <c r="K73" s="13" t="s">
        <v>124</v>
      </c>
      <c r="O73" s="12" t="n">
        <v>0</v>
      </c>
      <c r="P73" s="13" t="s">
        <v>125</v>
      </c>
    </row>
    <row r="74" customFormat="false" ht="14.25" hidden="false" customHeight="false" outlineLevel="0" collapsed="false">
      <c r="J74" s="12" t="n">
        <v>1</v>
      </c>
      <c r="K74" s="13" t="s">
        <v>126</v>
      </c>
      <c r="O74" s="12" t="n">
        <v>1</v>
      </c>
      <c r="P74" s="13" t="s">
        <v>127</v>
      </c>
    </row>
    <row r="75" customFormat="false" ht="14.25" hidden="false" customHeight="false" outlineLevel="0" collapsed="false">
      <c r="J75" s="12" t="n">
        <v>2</v>
      </c>
      <c r="K75" s="13" t="s">
        <v>128</v>
      </c>
      <c r="O75" s="12" t="n">
        <v>2</v>
      </c>
      <c r="P75" s="13" t="s">
        <v>129</v>
      </c>
    </row>
    <row r="76" customFormat="false" ht="14.25" hidden="false" customHeight="false" outlineLevel="0" collapsed="false">
      <c r="J76" s="12" t="n">
        <v>3</v>
      </c>
      <c r="K76" s="13" t="s">
        <v>130</v>
      </c>
      <c r="O76" s="12" t="n">
        <v>3</v>
      </c>
      <c r="P76" s="13" t="s">
        <v>128</v>
      </c>
    </row>
    <row r="77" customFormat="false" ht="14.25" hidden="false" customHeight="false" outlineLevel="0" collapsed="false">
      <c r="J77" s="13"/>
      <c r="O77" s="12" t="n">
        <v>4</v>
      </c>
      <c r="P77" s="13" t="s">
        <v>130</v>
      </c>
    </row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mergeCells count="4">
    <mergeCell ref="B1:D1"/>
    <mergeCell ref="E1:H1"/>
    <mergeCell ref="I1:J1"/>
    <mergeCell ref="N1:O1"/>
  </mergeCells>
  <printOptions headings="false" gridLines="false" gridLinesSet="true" horizontalCentered="false" verticalCentered="false"/>
  <pageMargins left="0.708333333333333" right="0.708333333333333" top="0.747916666666667" bottom="0.747916666666667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48576"/>
  <sheetViews>
    <sheetView showFormulas="false" showGridLines="true" showRowColHeaders="true" showZeros="true" rightToLeft="false" tabSelected="false" showOutlineSymbols="true" defaultGridColor="true" view="normal" topLeftCell="A1" colorId="64" zoomScale="106" zoomScaleNormal="106" zoomScalePageLayoutView="100" workbookViewId="0">
      <selection pane="topLeft" activeCell="A1" activeCellId="0" sqref="A1"/>
    </sheetView>
  </sheetViews>
  <sheetFormatPr defaultColWidth="9.00390625" defaultRowHeight="14.25" customHeight="true" zeroHeight="false" outlineLevelRow="0" outlineLevelCol="0"/>
  <cols>
    <col collapsed="false" customWidth="true" hidden="false" outlineLevel="0" max="1" min="1" style="1" width="14.86"/>
    <col collapsed="false" customWidth="true" hidden="false" outlineLevel="0" max="2" min="2" style="1" width="12.86"/>
    <col collapsed="false" customWidth="true" hidden="false" outlineLevel="0" max="3" min="3" style="2" width="11.31"/>
    <col collapsed="false" customWidth="true" hidden="false" outlineLevel="0" max="4" min="4" style="1" width="43.42"/>
  </cols>
  <sheetData>
    <row r="1" customFormat="false" ht="14.25" hidden="false" customHeight="true" outlineLevel="0" collapsed="false">
      <c r="A1" s="106" t="s">
        <v>131</v>
      </c>
      <c r="C1" s="1"/>
    </row>
    <row r="3" customFormat="false" ht="14.25" hidden="false" customHeight="true" outlineLevel="0" collapsed="false">
      <c r="A3" s="1" t="s">
        <v>132</v>
      </c>
    </row>
    <row r="4" customFormat="false" ht="14.25" hidden="false" customHeight="true" outlineLevel="0" collapsed="false">
      <c r="A4" s="1" t="s">
        <v>133</v>
      </c>
    </row>
    <row r="6" customFormat="false" ht="14.25" hidden="false" customHeight="true" outlineLevel="0" collapsed="false">
      <c r="A6" s="1" t="s">
        <v>134</v>
      </c>
    </row>
    <row r="8" customFormat="false" ht="14.25" hidden="false" customHeight="true" outlineLevel="0" collapsed="false">
      <c r="A8" s="107" t="s">
        <v>135</v>
      </c>
    </row>
    <row r="9" customFormat="false" ht="14.25" hidden="false" customHeight="true" outlineLevel="0" collapsed="false">
      <c r="A9" s="107"/>
      <c r="B9" s="107" t="s">
        <v>136</v>
      </c>
    </row>
    <row r="10" customFormat="false" ht="14.25" hidden="false" customHeight="true" outlineLevel="0" collapsed="false">
      <c r="A10" s="107"/>
    </row>
    <row r="11" customFormat="false" ht="16" hidden="false" customHeight="false" outlineLevel="0" collapsed="false">
      <c r="A11" s="107" t="s">
        <v>137</v>
      </c>
    </row>
    <row r="12" customFormat="false" ht="14.25" hidden="false" customHeight="true" outlineLevel="0" collapsed="false">
      <c r="B12" s="107" t="s">
        <v>138</v>
      </c>
    </row>
    <row r="13" customFormat="false" ht="16" hidden="false" customHeight="false" outlineLevel="0" collapsed="false">
      <c r="B13" s="107" t="s">
        <v>139</v>
      </c>
    </row>
    <row r="14" customFormat="false" ht="16" hidden="false" customHeight="false" outlineLevel="0" collapsed="false">
      <c r="B14" s="107" t="s">
        <v>140</v>
      </c>
    </row>
    <row r="15" customFormat="false" ht="14.25" hidden="false" customHeight="false" outlineLevel="0" collapsed="false">
      <c r="B15" s="107"/>
    </row>
    <row r="16" customFormat="false" ht="16" hidden="false" customHeight="false" outlineLevel="0" collapsed="false">
      <c r="A16" s="107" t="s">
        <v>141</v>
      </c>
    </row>
    <row r="17" customFormat="false" ht="16" hidden="false" customHeight="false" outlineLevel="0" collapsed="false">
      <c r="B17" s="107" t="s">
        <v>142</v>
      </c>
    </row>
    <row r="18" customFormat="false" ht="16" hidden="false" customHeight="false" outlineLevel="0" collapsed="false">
      <c r="B18" s="107" t="s">
        <v>143</v>
      </c>
    </row>
    <row r="19" customFormat="false" ht="14.25" hidden="false" customHeight="true" outlineLevel="0" collapsed="false">
      <c r="B19" s="107" t="s">
        <v>144</v>
      </c>
    </row>
    <row r="20" customFormat="false" ht="14.25" hidden="false" customHeight="true" outlineLevel="0" collapsed="false">
      <c r="B20" s="107" t="s">
        <v>145</v>
      </c>
    </row>
    <row r="22" customFormat="false" ht="14.25" hidden="false" customHeight="true" outlineLevel="0" collapsed="false">
      <c r="A22" s="1" t="s">
        <v>146</v>
      </c>
    </row>
    <row r="23" customFormat="false" ht="14.25" hidden="false" customHeight="true" outlineLevel="0" collapsed="false">
      <c r="A23" s="1" t="s">
        <v>147</v>
      </c>
    </row>
    <row r="24" customFormat="false" ht="14.25" hidden="false" customHeight="true" outlineLevel="0" collapsed="false">
      <c r="A24" s="106" t="s">
        <v>148</v>
      </c>
    </row>
    <row r="25" customFormat="false" ht="14.25" hidden="false" customHeight="true" outlineLevel="0" collapsed="false">
      <c r="A25" s="1" t="s">
        <v>149</v>
      </c>
      <c r="C25" s="1"/>
    </row>
    <row r="26" customFormat="false" ht="14.25" hidden="false" customHeight="true" outlineLevel="0" collapsed="false">
      <c r="C26" s="1"/>
    </row>
    <row r="27" customFormat="false" ht="14.25" hidden="false" customHeight="true" outlineLevel="0" collapsed="false">
      <c r="C27" s="1"/>
    </row>
    <row r="28" customFormat="false" ht="14.25" hidden="false" customHeight="true" outlineLevel="0" collapsed="false">
      <c r="C28" s="1"/>
    </row>
    <row r="29" customFormat="false" ht="14.25" hidden="false" customHeight="true" outlineLevel="0" collapsed="false">
      <c r="C29" s="1"/>
    </row>
    <row r="30" customFormat="false" ht="14.25" hidden="false" customHeight="false" outlineLevel="0" collapsed="false">
      <c r="C30" s="1"/>
    </row>
    <row r="31" customFormat="false" ht="14.25" hidden="false" customHeight="true" outlineLevel="0" collapsed="false">
      <c r="C31" s="1"/>
    </row>
    <row r="32" customFormat="false" ht="14.25" hidden="false" customHeight="false" outlineLevel="0" collapsed="false">
      <c r="C32" s="1"/>
    </row>
    <row r="33" customFormat="false" ht="14.25" hidden="false" customHeight="false" outlineLevel="0" collapsed="false">
      <c r="C33" s="1"/>
    </row>
    <row r="34" customFormat="false" ht="14.25" hidden="false" customHeight="false" outlineLevel="0" collapsed="false">
      <c r="C34" s="1"/>
    </row>
    <row r="35" customFormat="false" ht="14.25" hidden="false" customHeight="false" outlineLevel="0" collapsed="false">
      <c r="C35" s="1"/>
    </row>
    <row r="36" customFormat="false" ht="14.25" hidden="false" customHeight="false" outlineLevel="0" collapsed="false">
      <c r="C36" s="1"/>
    </row>
    <row r="37" customFormat="false" ht="14.25" hidden="false" customHeight="true" outlineLevel="0" collapsed="false">
      <c r="C37" s="1"/>
    </row>
    <row r="38" customFormat="false" ht="14.25" hidden="false" customHeight="true" outlineLevel="0" collapsed="false">
      <c r="C38" s="1"/>
    </row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08333333333333" right="0.708333333333333" top="0.747916666666667" bottom="0.747916666666667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47"/>
  <sheetViews>
    <sheetView showFormulas="false" showGridLines="true" showRowColHeaders="true" showZeros="true" rightToLeft="false" tabSelected="false" showOutlineSymbols="true" defaultGridColor="true" view="normal" topLeftCell="A1" colorId="64" zoomScale="106" zoomScaleNormal="106" zoomScalePageLayoutView="100" workbookViewId="0">
      <pane xSplit="0" ySplit="1" topLeftCell="A2" activePane="bottomLeft" state="frozen"/>
      <selection pane="topLeft" activeCell="A1" activeCellId="0" sqref="A1"/>
      <selection pane="bottomLeft" activeCell="M15" activeCellId="0" sqref="M15"/>
    </sheetView>
  </sheetViews>
  <sheetFormatPr defaultColWidth="11.53515625" defaultRowHeight="14.25" customHeight="false" zeroHeight="false" outlineLevelRow="1" outlineLevelCol="0"/>
  <cols>
    <col collapsed="false" customWidth="true" hidden="false" outlineLevel="0" max="1" min="1" style="108" width="15.51"/>
    <col collapsed="false" customWidth="true" hidden="false" outlineLevel="0" max="9" min="2" style="5" width="3.01"/>
    <col collapsed="false" customWidth="true" hidden="false" outlineLevel="0" max="11" min="10" style="5" width="18.22"/>
    <col collapsed="false" customWidth="true" hidden="false" outlineLevel="0" max="12" min="12" style="5" width="15.59"/>
    <col collapsed="false" customWidth="true" hidden="false" outlineLevel="0" max="13" min="13" style="5" width="24.92"/>
    <col collapsed="false" customWidth="true" hidden="false" outlineLevel="0" max="14" min="14" style="2" width="27.85"/>
    <col collapsed="false" customWidth="true" hidden="false" outlineLevel="0" max="15" min="15" style="5" width="76.29"/>
    <col collapsed="false" customWidth="true" hidden="false" outlineLevel="0" max="17" min="16" style="5" width="11.43"/>
    <col collapsed="false" customWidth="true" hidden="false" outlineLevel="0" max="18" min="18" style="5" width="71.29"/>
  </cols>
  <sheetData>
    <row r="1" customFormat="false" ht="14.25" hidden="false" customHeight="false" outlineLevel="0" collapsed="false">
      <c r="B1" s="109" t="n">
        <v>7</v>
      </c>
      <c r="C1" s="109" t="n">
        <v>6</v>
      </c>
      <c r="D1" s="109" t="n">
        <v>5</v>
      </c>
      <c r="E1" s="109" t="n">
        <v>4</v>
      </c>
      <c r="F1" s="109" t="n">
        <v>3</v>
      </c>
      <c r="G1" s="109" t="n">
        <v>2</v>
      </c>
      <c r="H1" s="109" t="n">
        <v>1</v>
      </c>
      <c r="I1" s="109" t="n">
        <v>0</v>
      </c>
      <c r="J1" s="108" t="s">
        <v>35</v>
      </c>
      <c r="K1" s="108" t="s">
        <v>36</v>
      </c>
      <c r="L1" s="108" t="s">
        <v>1</v>
      </c>
      <c r="M1" s="109" t="s">
        <v>150</v>
      </c>
      <c r="N1" s="109" t="s">
        <v>151</v>
      </c>
      <c r="O1" s="108" t="s">
        <v>152</v>
      </c>
      <c r="P1" s="108"/>
      <c r="Q1" s="108"/>
      <c r="R1" s="108"/>
    </row>
    <row r="2" customFormat="false" ht="14.25" hidden="false" customHeight="false" outlineLevel="0" collapsed="false">
      <c r="A2" s="110"/>
      <c r="B2" s="111"/>
      <c r="C2" s="111"/>
      <c r="D2" s="111"/>
      <c r="E2" s="111"/>
      <c r="F2" s="111"/>
      <c r="G2" s="111"/>
      <c r="H2" s="111"/>
      <c r="I2" s="111"/>
      <c r="J2" s="110"/>
      <c r="K2" s="110"/>
      <c r="L2" s="110"/>
      <c r="M2" s="111"/>
      <c r="N2" s="111"/>
      <c r="O2" s="110"/>
      <c r="P2" s="110"/>
      <c r="Q2" s="110"/>
      <c r="R2" s="110"/>
    </row>
    <row r="3" customFormat="false" ht="14.25" hidden="false" customHeight="false" outlineLevel="0" collapsed="false">
      <c r="B3" s="112"/>
      <c r="C3" s="113"/>
      <c r="D3" s="113"/>
      <c r="E3" s="114"/>
      <c r="F3" s="115"/>
      <c r="G3" s="113"/>
      <c r="H3" s="113"/>
      <c r="I3" s="116" t="s">
        <v>50</v>
      </c>
      <c r="J3" s="117"/>
      <c r="K3" s="118" t="s">
        <v>153</v>
      </c>
      <c r="L3" s="118" t="s">
        <v>154</v>
      </c>
      <c r="M3" s="116" t="s">
        <v>155</v>
      </c>
      <c r="N3" s="116" t="s">
        <v>156</v>
      </c>
      <c r="O3" s="119"/>
    </row>
    <row r="4" customFormat="false" ht="14.25" hidden="false" customHeight="false" outlineLevel="0" collapsed="false">
      <c r="B4" s="120"/>
      <c r="C4" s="121"/>
      <c r="D4" s="121"/>
      <c r="E4" s="122"/>
      <c r="F4" s="123"/>
      <c r="G4" s="121"/>
      <c r="H4" s="12" t="s">
        <v>50</v>
      </c>
      <c r="I4" s="124"/>
      <c r="J4" s="125"/>
      <c r="K4" s="126" t="s">
        <v>157</v>
      </c>
      <c r="L4" s="127"/>
      <c r="M4" s="124"/>
      <c r="N4" s="124"/>
      <c r="O4" s="128"/>
    </row>
    <row r="5" customFormat="false" ht="14.25" hidden="false" customHeight="false" outlineLevel="0" collapsed="false">
      <c r="B5" s="120"/>
      <c r="C5" s="121"/>
      <c r="D5" s="121"/>
      <c r="E5" s="122"/>
      <c r="F5" s="123"/>
      <c r="G5" s="12" t="s">
        <v>50</v>
      </c>
      <c r="H5" s="12"/>
      <c r="I5" s="124"/>
      <c r="J5" s="125" t="s">
        <v>158</v>
      </c>
      <c r="K5" s="126" t="s">
        <v>159</v>
      </c>
      <c r="L5" s="127" t="s">
        <v>160</v>
      </c>
      <c r="M5" s="124" t="s">
        <v>155</v>
      </c>
      <c r="N5" s="124" t="s">
        <v>156</v>
      </c>
      <c r="O5" s="128"/>
    </row>
    <row r="6" customFormat="false" ht="14.25" hidden="false" customHeight="false" outlineLevel="0" collapsed="false">
      <c r="B6" s="129"/>
      <c r="C6" s="130"/>
      <c r="D6" s="130"/>
      <c r="E6" s="131"/>
      <c r="F6" s="132" t="s">
        <v>50</v>
      </c>
      <c r="G6" s="130"/>
      <c r="H6" s="130"/>
      <c r="I6" s="133"/>
      <c r="J6" s="134" t="s">
        <v>158</v>
      </c>
      <c r="K6" s="135" t="s">
        <v>161</v>
      </c>
      <c r="L6" s="135" t="s">
        <v>162</v>
      </c>
      <c r="M6" s="133" t="n">
        <v>4</v>
      </c>
      <c r="N6" s="133" t="s">
        <v>163</v>
      </c>
      <c r="O6" s="136"/>
    </row>
    <row r="7" customFormat="false" ht="14.25" hidden="false" customHeight="false" outlineLevel="0" collapsed="false">
      <c r="A7" s="110" t="s">
        <v>164</v>
      </c>
      <c r="B7" s="137"/>
      <c r="C7" s="138"/>
      <c r="D7" s="138"/>
      <c r="E7" s="139"/>
      <c r="F7" s="140"/>
      <c r="G7" s="138"/>
      <c r="H7" s="138"/>
      <c r="I7" s="141"/>
      <c r="J7" s="142" t="s">
        <v>165</v>
      </c>
      <c r="K7" s="143"/>
      <c r="L7" s="143"/>
      <c r="M7" s="141"/>
      <c r="N7" s="141"/>
      <c r="O7" s="144"/>
      <c r="P7" s="145"/>
      <c r="Q7" s="145"/>
      <c r="R7" s="145"/>
    </row>
    <row r="8" customFormat="false" ht="14.25" hidden="false" customHeight="false" outlineLevel="1" collapsed="false">
      <c r="B8" s="120"/>
      <c r="C8" s="121"/>
      <c r="D8" s="121"/>
      <c r="E8" s="146" t="s">
        <v>50</v>
      </c>
      <c r="F8" s="123"/>
      <c r="G8" s="121"/>
      <c r="H8" s="12"/>
      <c r="I8" s="124"/>
      <c r="J8" s="125"/>
      <c r="K8" s="126" t="s">
        <v>166</v>
      </c>
      <c r="L8" s="127"/>
      <c r="M8" s="124"/>
      <c r="N8" s="124"/>
      <c r="O8" s="128"/>
    </row>
    <row r="9" customFormat="false" ht="14.25" hidden="false" customHeight="false" outlineLevel="1" collapsed="false">
      <c r="A9" s="110" t="s">
        <v>120</v>
      </c>
      <c r="B9" s="147"/>
      <c r="C9" s="148"/>
      <c r="D9" s="148"/>
      <c r="E9" s="149"/>
      <c r="F9" s="150"/>
      <c r="G9" s="148"/>
      <c r="H9" s="151"/>
      <c r="I9" s="152"/>
      <c r="J9" s="153" t="s">
        <v>167</v>
      </c>
      <c r="K9" s="154"/>
      <c r="L9" s="154"/>
      <c r="M9" s="152"/>
      <c r="N9" s="152"/>
      <c r="O9" s="155"/>
      <c r="P9" s="145"/>
      <c r="Q9" s="145"/>
      <c r="R9" s="145"/>
    </row>
    <row r="10" customFormat="false" ht="14.25" hidden="false" customHeight="false" outlineLevel="1" collapsed="false">
      <c r="B10" s="120"/>
      <c r="C10" s="121"/>
      <c r="D10" s="121"/>
      <c r="E10" s="146"/>
      <c r="F10" s="123"/>
      <c r="G10" s="121"/>
      <c r="H10" s="12"/>
      <c r="I10" s="124"/>
      <c r="J10" s="134"/>
      <c r="K10" s="126"/>
      <c r="L10" s="135"/>
      <c r="M10" s="133"/>
      <c r="N10" s="133"/>
      <c r="O10" s="128"/>
    </row>
    <row r="11" customFormat="false" ht="14.25" hidden="false" customHeight="false" outlineLevel="1" collapsed="false">
      <c r="A11" s="110" t="s">
        <v>76</v>
      </c>
      <c r="B11" s="147"/>
      <c r="C11" s="148"/>
      <c r="D11" s="148"/>
      <c r="E11" s="149"/>
      <c r="F11" s="150"/>
      <c r="G11" s="148"/>
      <c r="H11" s="151"/>
      <c r="I11" s="152"/>
      <c r="J11" s="142" t="s">
        <v>168</v>
      </c>
      <c r="K11" s="154"/>
      <c r="L11" s="143"/>
      <c r="M11" s="141"/>
      <c r="N11" s="141"/>
      <c r="O11" s="155"/>
      <c r="P11" s="145"/>
      <c r="Q11" s="145"/>
      <c r="R11" s="145"/>
    </row>
    <row r="12" customFormat="false" ht="14.25" hidden="false" customHeight="false" outlineLevel="1" collapsed="false">
      <c r="B12" s="120"/>
      <c r="C12" s="121"/>
      <c r="D12" s="121"/>
      <c r="E12" s="146"/>
      <c r="F12" s="123"/>
      <c r="G12" s="121"/>
      <c r="H12" s="12"/>
      <c r="I12" s="124"/>
      <c r="J12" s="125"/>
      <c r="K12" s="126"/>
      <c r="L12" s="127" t="s">
        <v>71</v>
      </c>
      <c r="M12" s="124" t="n">
        <v>4</v>
      </c>
      <c r="N12" s="124" t="s">
        <v>163</v>
      </c>
      <c r="O12" s="128"/>
    </row>
    <row r="13" customFormat="false" ht="14.25" hidden="false" customHeight="false" outlineLevel="1" collapsed="false">
      <c r="B13" s="120"/>
      <c r="C13" s="121"/>
      <c r="D13" s="12" t="s">
        <v>50</v>
      </c>
      <c r="E13" s="122"/>
      <c r="F13" s="123"/>
      <c r="G13" s="121"/>
      <c r="H13" s="12"/>
      <c r="I13" s="124"/>
      <c r="J13" s="125"/>
      <c r="K13" s="127" t="s">
        <v>169</v>
      </c>
      <c r="L13" s="127" t="s">
        <v>170</v>
      </c>
      <c r="M13" s="124" t="n">
        <v>8</v>
      </c>
      <c r="N13" s="124" t="s">
        <v>171</v>
      </c>
      <c r="O13" s="128" t="s">
        <v>172</v>
      </c>
    </row>
    <row r="14" customFormat="false" ht="14.25" hidden="false" customHeight="false" outlineLevel="1" collapsed="false">
      <c r="B14" s="120"/>
      <c r="C14" s="121"/>
      <c r="D14" s="12"/>
      <c r="E14" s="122"/>
      <c r="F14" s="123"/>
      <c r="G14" s="121"/>
      <c r="H14" s="12"/>
      <c r="I14" s="124"/>
      <c r="J14" s="125" t="s">
        <v>169</v>
      </c>
      <c r="K14" s="127"/>
      <c r="L14" s="127" t="s">
        <v>173</v>
      </c>
      <c r="M14" s="124" t="s">
        <v>155</v>
      </c>
      <c r="N14" s="124" t="s">
        <v>174</v>
      </c>
      <c r="O14" s="128"/>
    </row>
    <row r="15" customFormat="false" ht="14.25" hidden="false" customHeight="false" outlineLevel="1" collapsed="false">
      <c r="B15" s="156"/>
      <c r="C15" s="130" t="s">
        <v>50</v>
      </c>
      <c r="D15" s="157"/>
      <c r="E15" s="158"/>
      <c r="F15" s="159"/>
      <c r="G15" s="157"/>
      <c r="H15" s="130"/>
      <c r="I15" s="133"/>
      <c r="J15" s="134"/>
      <c r="K15" s="135" t="s">
        <v>175</v>
      </c>
      <c r="L15" s="135" t="s">
        <v>114</v>
      </c>
      <c r="M15" s="133" t="s">
        <v>155</v>
      </c>
      <c r="N15" s="133" t="s">
        <v>176</v>
      </c>
      <c r="O15" s="136"/>
    </row>
    <row r="16" customFormat="false" ht="14.25" hidden="false" customHeight="false" outlineLevel="0" collapsed="false">
      <c r="A16" s="110" t="s">
        <v>1</v>
      </c>
      <c r="B16" s="160"/>
      <c r="C16" s="138"/>
      <c r="D16" s="161"/>
      <c r="E16" s="162"/>
      <c r="F16" s="163"/>
      <c r="G16" s="161"/>
      <c r="H16" s="138"/>
      <c r="I16" s="141"/>
      <c r="J16" s="142" t="s">
        <v>177</v>
      </c>
      <c r="K16" s="143"/>
      <c r="L16" s="143"/>
      <c r="M16" s="141"/>
      <c r="N16" s="141"/>
      <c r="O16" s="144"/>
      <c r="P16" s="145"/>
      <c r="Q16" s="145"/>
      <c r="R16" s="145"/>
    </row>
    <row r="17" customFormat="false" ht="14.25" hidden="false" customHeight="false" outlineLevel="1" collapsed="false">
      <c r="B17" s="120"/>
      <c r="C17" s="105"/>
      <c r="D17" s="121" t="n">
        <v>0</v>
      </c>
      <c r="E17" s="122" t="n">
        <v>0</v>
      </c>
      <c r="F17" s="123"/>
      <c r="G17" s="121"/>
      <c r="H17" s="105"/>
      <c r="I17" s="124"/>
      <c r="J17" s="125"/>
      <c r="K17" s="126" t="s">
        <v>178</v>
      </c>
      <c r="L17" s="126"/>
      <c r="M17" s="124"/>
      <c r="N17" s="124"/>
      <c r="O17" s="128"/>
    </row>
    <row r="18" customFormat="false" ht="14.25" hidden="false" customHeight="false" outlineLevel="1" collapsed="false">
      <c r="B18" s="120"/>
      <c r="C18" s="105"/>
      <c r="D18" s="121" t="n">
        <v>1</v>
      </c>
      <c r="E18" s="122" t="n">
        <v>0</v>
      </c>
      <c r="F18" s="123"/>
      <c r="G18" s="121"/>
      <c r="H18" s="105"/>
      <c r="I18" s="124"/>
      <c r="J18" s="125"/>
      <c r="K18" s="126" t="s">
        <v>179</v>
      </c>
      <c r="L18" s="126"/>
      <c r="M18" s="124"/>
      <c r="N18" s="124"/>
      <c r="O18" s="128"/>
    </row>
    <row r="19" customFormat="false" ht="14.25" hidden="false" customHeight="false" outlineLevel="1" collapsed="false">
      <c r="B19" s="120"/>
      <c r="C19" s="105"/>
      <c r="D19" s="121" t="n">
        <v>0</v>
      </c>
      <c r="E19" s="122" t="n">
        <v>1</v>
      </c>
      <c r="F19" s="123"/>
      <c r="G19" s="121"/>
      <c r="H19" s="105"/>
      <c r="I19" s="124"/>
      <c r="J19" s="125"/>
      <c r="K19" s="126" t="s">
        <v>180</v>
      </c>
      <c r="L19" s="126"/>
      <c r="M19" s="124"/>
      <c r="N19" s="124"/>
      <c r="O19" s="128"/>
    </row>
    <row r="20" customFormat="false" ht="14.25" hidden="false" customHeight="false" outlineLevel="1" collapsed="false">
      <c r="B20" s="120"/>
      <c r="C20" s="105"/>
      <c r="D20" s="121" t="n">
        <v>1</v>
      </c>
      <c r="E20" s="122" t="n">
        <v>1</v>
      </c>
      <c r="F20" s="123"/>
      <c r="G20" s="121"/>
      <c r="H20" s="105"/>
      <c r="I20" s="124"/>
      <c r="J20" s="125"/>
      <c r="K20" s="126" t="s">
        <v>181</v>
      </c>
      <c r="L20" s="126"/>
      <c r="M20" s="124"/>
      <c r="N20" s="124"/>
      <c r="O20" s="128"/>
    </row>
    <row r="21" customFormat="false" ht="14.25" hidden="false" customHeight="false" outlineLevel="1" collapsed="false">
      <c r="A21" s="110" t="s">
        <v>182</v>
      </c>
      <c r="B21" s="147"/>
      <c r="C21" s="151"/>
      <c r="D21" s="148"/>
      <c r="E21" s="164"/>
      <c r="F21" s="150"/>
      <c r="G21" s="148"/>
      <c r="H21" s="151"/>
      <c r="I21" s="152"/>
      <c r="J21" s="153" t="s">
        <v>178</v>
      </c>
      <c r="K21" s="154"/>
      <c r="L21" s="154"/>
      <c r="M21" s="152"/>
      <c r="N21" s="152"/>
      <c r="O21" s="155"/>
      <c r="P21" s="145"/>
      <c r="Q21" s="145"/>
      <c r="R21" s="145"/>
    </row>
    <row r="22" customFormat="false" ht="14.25" hidden="false" customHeight="false" outlineLevel="1" collapsed="false">
      <c r="B22" s="120"/>
      <c r="C22" s="105"/>
      <c r="D22" s="121"/>
      <c r="E22" s="122"/>
      <c r="F22" s="123"/>
      <c r="G22" s="121"/>
      <c r="H22" s="105"/>
      <c r="I22" s="124"/>
      <c r="J22" s="125"/>
      <c r="K22" s="126"/>
      <c r="L22" s="126" t="s">
        <v>183</v>
      </c>
      <c r="M22" s="124" t="n">
        <v>1</v>
      </c>
      <c r="N22" s="124" t="s">
        <v>183</v>
      </c>
      <c r="O22" s="128" t="s">
        <v>184</v>
      </c>
    </row>
    <row r="23" customFormat="false" ht="14.25" hidden="false" customHeight="false" outlineLevel="1" collapsed="false">
      <c r="A23" s="110" t="s">
        <v>185</v>
      </c>
      <c r="B23" s="147"/>
      <c r="C23" s="151"/>
      <c r="D23" s="148"/>
      <c r="E23" s="164"/>
      <c r="F23" s="150"/>
      <c r="G23" s="148"/>
      <c r="H23" s="151"/>
      <c r="I23" s="152"/>
      <c r="J23" s="153" t="s">
        <v>179</v>
      </c>
      <c r="K23" s="154"/>
      <c r="L23" s="154"/>
      <c r="M23" s="152"/>
      <c r="N23" s="152"/>
      <c r="O23" s="155"/>
      <c r="P23" s="145"/>
      <c r="Q23" s="145"/>
      <c r="R23" s="145"/>
    </row>
    <row r="24" customFormat="false" ht="14.25" hidden="false" customHeight="false" outlineLevel="1" collapsed="false">
      <c r="B24" s="120"/>
      <c r="C24" s="105" t="s">
        <v>50</v>
      </c>
      <c r="D24" s="121"/>
      <c r="E24" s="122"/>
      <c r="F24" s="123"/>
      <c r="G24" s="121"/>
      <c r="H24" s="105"/>
      <c r="I24" s="124"/>
      <c r="J24" s="125"/>
      <c r="K24" s="126"/>
      <c r="L24" s="126" t="s">
        <v>186</v>
      </c>
      <c r="M24" s="124" t="s">
        <v>155</v>
      </c>
      <c r="N24" s="124" t="s">
        <v>156</v>
      </c>
      <c r="O24" s="128" t="s">
        <v>187</v>
      </c>
    </row>
    <row r="25" customFormat="false" ht="14.25" hidden="false" customHeight="false" outlineLevel="1" collapsed="false">
      <c r="B25" s="120"/>
      <c r="C25" s="105"/>
      <c r="D25" s="121"/>
      <c r="E25" s="122"/>
      <c r="F25" s="123"/>
      <c r="G25" s="121"/>
      <c r="H25" s="105"/>
      <c r="I25" s="124"/>
      <c r="J25" s="125"/>
      <c r="K25" s="126"/>
      <c r="L25" s="126" t="s">
        <v>183</v>
      </c>
      <c r="M25" s="124" t="s">
        <v>155</v>
      </c>
      <c r="N25" s="124" t="s">
        <v>183</v>
      </c>
      <c r="O25" s="128" t="s">
        <v>184</v>
      </c>
    </row>
    <row r="26" customFormat="false" ht="14.25" hidden="false" customHeight="false" outlineLevel="1" collapsed="false">
      <c r="A26" s="110" t="s">
        <v>188</v>
      </c>
      <c r="B26" s="147"/>
      <c r="C26" s="151"/>
      <c r="D26" s="148"/>
      <c r="E26" s="164"/>
      <c r="F26" s="150"/>
      <c r="G26" s="148"/>
      <c r="H26" s="151"/>
      <c r="I26" s="152"/>
      <c r="J26" s="153" t="s">
        <v>180</v>
      </c>
      <c r="K26" s="154"/>
      <c r="L26" s="154"/>
      <c r="M26" s="152"/>
      <c r="N26" s="152"/>
      <c r="O26" s="155"/>
      <c r="P26" s="145"/>
      <c r="Q26" s="145"/>
      <c r="R26" s="145"/>
    </row>
    <row r="27" customFormat="false" ht="14.25" hidden="false" customHeight="false" outlineLevel="1" collapsed="false">
      <c r="B27" s="120"/>
      <c r="C27" s="121"/>
      <c r="D27" s="121"/>
      <c r="E27" s="146"/>
      <c r="F27" s="123"/>
      <c r="G27" s="121"/>
      <c r="H27" s="12"/>
      <c r="I27" s="124"/>
      <c r="J27" s="125"/>
      <c r="K27" s="127"/>
      <c r="L27" s="127" t="s">
        <v>189</v>
      </c>
      <c r="M27" s="124" t="n">
        <v>4</v>
      </c>
      <c r="N27" s="124" t="s">
        <v>163</v>
      </c>
      <c r="O27" s="165" t="s">
        <v>190</v>
      </c>
    </row>
    <row r="28" customFormat="false" ht="14.25" hidden="false" customHeight="false" outlineLevel="1" collapsed="false">
      <c r="B28" s="120"/>
      <c r="C28" s="121"/>
      <c r="D28" s="121"/>
      <c r="E28" s="146"/>
      <c r="F28" s="123"/>
      <c r="G28" s="121"/>
      <c r="H28" s="12"/>
      <c r="I28" s="124"/>
      <c r="J28" s="125"/>
      <c r="K28" s="127"/>
      <c r="L28" s="127" t="s">
        <v>191</v>
      </c>
      <c r="M28" s="124" t="s">
        <v>155</v>
      </c>
      <c r="N28" s="124" t="s">
        <v>192</v>
      </c>
      <c r="O28" s="165" t="s">
        <v>193</v>
      </c>
    </row>
    <row r="29" customFormat="false" ht="14.25" hidden="false" customHeight="false" outlineLevel="1" collapsed="false">
      <c r="A29" s="110" t="s">
        <v>194</v>
      </c>
      <c r="B29" s="147"/>
      <c r="C29" s="151"/>
      <c r="D29" s="148"/>
      <c r="E29" s="164"/>
      <c r="F29" s="150"/>
      <c r="G29" s="148"/>
      <c r="H29" s="151"/>
      <c r="I29" s="152"/>
      <c r="J29" s="153" t="s">
        <v>181</v>
      </c>
      <c r="K29" s="154"/>
      <c r="L29" s="154"/>
      <c r="M29" s="152"/>
      <c r="N29" s="152"/>
      <c r="O29" s="155"/>
      <c r="P29" s="145"/>
      <c r="Q29" s="145"/>
      <c r="R29" s="145"/>
    </row>
    <row r="30" customFormat="false" ht="14.25" hidden="false" customHeight="false" outlineLevel="1" collapsed="false">
      <c r="B30" s="120"/>
      <c r="C30" s="12"/>
      <c r="D30" s="121"/>
      <c r="E30" s="122"/>
      <c r="F30" s="123"/>
      <c r="G30" s="121"/>
      <c r="H30" s="12"/>
      <c r="I30" s="124"/>
      <c r="J30" s="125"/>
      <c r="K30" s="127"/>
      <c r="L30" s="127" t="s">
        <v>195</v>
      </c>
      <c r="M30" s="124" t="n">
        <v>4</v>
      </c>
      <c r="N30" s="124" t="s">
        <v>163</v>
      </c>
      <c r="O30" s="165" t="s">
        <v>196</v>
      </c>
    </row>
    <row r="31" customFormat="false" ht="14.25" hidden="false" customHeight="false" outlineLevel="1" collapsed="false">
      <c r="B31" s="120"/>
      <c r="C31" s="12" t="s">
        <v>50</v>
      </c>
      <c r="D31" s="121"/>
      <c r="E31" s="122"/>
      <c r="F31" s="123"/>
      <c r="G31" s="121"/>
      <c r="H31" s="12"/>
      <c r="I31" s="124"/>
      <c r="J31" s="125"/>
      <c r="K31" s="127" t="s">
        <v>197</v>
      </c>
      <c r="L31" s="127" t="s">
        <v>198</v>
      </c>
      <c r="M31" s="124" t="s">
        <v>199</v>
      </c>
      <c r="N31" s="124" t="s">
        <v>200</v>
      </c>
      <c r="O31" s="165" t="s">
        <v>201</v>
      </c>
    </row>
    <row r="32" customFormat="false" ht="14.25" hidden="false" customHeight="false" outlineLevel="1" collapsed="false">
      <c r="B32" s="120"/>
      <c r="C32" s="12"/>
      <c r="D32" s="121"/>
      <c r="E32" s="122"/>
      <c r="F32" s="123"/>
      <c r="G32" s="121"/>
      <c r="H32" s="12"/>
      <c r="I32" s="124"/>
      <c r="J32" s="125" t="s">
        <v>197</v>
      </c>
      <c r="K32" s="127"/>
      <c r="L32" s="127" t="s">
        <v>191</v>
      </c>
      <c r="M32" s="124" t="s">
        <v>155</v>
      </c>
      <c r="N32" s="124" t="s">
        <v>192</v>
      </c>
      <c r="O32" s="165" t="s">
        <v>202</v>
      </c>
    </row>
    <row r="33" customFormat="false" ht="14.25" hidden="false" customHeight="false" outlineLevel="1" collapsed="false">
      <c r="B33" s="156"/>
      <c r="C33" s="130"/>
      <c r="D33" s="157"/>
      <c r="E33" s="158"/>
      <c r="F33" s="159"/>
      <c r="G33" s="157"/>
      <c r="H33" s="130"/>
      <c r="I33" s="133"/>
      <c r="J33" s="134" t="s">
        <v>203</v>
      </c>
      <c r="K33" s="135"/>
      <c r="L33" s="135" t="s">
        <v>191</v>
      </c>
      <c r="M33" s="133" t="s">
        <v>155</v>
      </c>
      <c r="N33" s="133" t="s">
        <v>192</v>
      </c>
      <c r="O33" s="166" t="s">
        <v>193</v>
      </c>
    </row>
    <row r="34" customFormat="false" ht="14.25" hidden="false" customHeight="false" outlineLevel="0" collapsed="false">
      <c r="B34" s="12"/>
      <c r="C34" s="12"/>
      <c r="D34" s="121"/>
      <c r="E34" s="121"/>
      <c r="F34" s="121"/>
      <c r="G34" s="121"/>
      <c r="H34" s="12"/>
      <c r="I34" s="12"/>
      <c r="J34" s="127"/>
      <c r="K34" s="127"/>
      <c r="L34" s="127"/>
      <c r="M34" s="127"/>
      <c r="N34" s="12"/>
      <c r="O34" s="12"/>
      <c r="P34" s="12"/>
      <c r="Q34" s="127"/>
      <c r="R34" s="127"/>
    </row>
    <row r="35" customFormat="false" ht="14.25" hidden="false" customHeight="false" outlineLevel="0" collapsed="false">
      <c r="B35" s="121"/>
      <c r="C35" s="121"/>
      <c r="D35" s="121"/>
      <c r="E35" s="121"/>
      <c r="F35" s="121"/>
      <c r="G35" s="121"/>
      <c r="H35" s="12"/>
      <c r="I35" s="12"/>
      <c r="J35" s="167" t="s">
        <v>151</v>
      </c>
      <c r="K35" s="167"/>
      <c r="L35" s="167"/>
      <c r="M35" s="167"/>
      <c r="N35" s="105"/>
      <c r="O35" s="12"/>
      <c r="P35" s="12"/>
      <c r="Q35" s="12"/>
      <c r="R35" s="127"/>
    </row>
    <row r="36" customFormat="false" ht="14.25" hidden="false" customHeight="false" outlineLevel="0" collapsed="false">
      <c r="J36" s="5" t="s">
        <v>204</v>
      </c>
    </row>
    <row r="37" customFormat="false" ht="14.25" hidden="false" customHeight="false" outlineLevel="0" collapsed="false">
      <c r="J37" s="5" t="s">
        <v>205</v>
      </c>
    </row>
    <row r="40" customFormat="false" ht="71.5" hidden="false" customHeight="false" outlineLevel="0" collapsed="false">
      <c r="A40" s="168" t="s">
        <v>206</v>
      </c>
      <c r="B40" s="169"/>
      <c r="C40" s="169"/>
      <c r="D40" s="170"/>
      <c r="E40" s="170"/>
      <c r="F40" s="169" t="s">
        <v>165</v>
      </c>
      <c r="G40" s="170" t="s">
        <v>159</v>
      </c>
      <c r="H40" s="170" t="s">
        <v>157</v>
      </c>
      <c r="I40" s="170" t="s">
        <v>153</v>
      </c>
      <c r="J40" s="171" t="s">
        <v>42</v>
      </c>
      <c r="K40" s="171" t="s">
        <v>207</v>
      </c>
      <c r="L40" s="172" t="s">
        <v>208</v>
      </c>
      <c r="M40" s="168" t="s">
        <v>209</v>
      </c>
      <c r="N40" s="171"/>
      <c r="O40" s="168"/>
      <c r="P40" s="168"/>
      <c r="Q40" s="168"/>
      <c r="R40" s="168"/>
    </row>
    <row r="41" customFormat="false" ht="14.25" hidden="false" customHeight="false" outlineLevel="0" collapsed="false">
      <c r="A41" s="173"/>
      <c r="B41" s="174"/>
      <c r="C41" s="175"/>
      <c r="D41" s="175"/>
      <c r="E41" s="176"/>
      <c r="F41" s="177"/>
      <c r="G41" s="175"/>
      <c r="H41" s="175" t="n">
        <v>1</v>
      </c>
      <c r="I41" s="178" t="s">
        <v>63</v>
      </c>
      <c r="J41" s="2" t="str">
        <f aca="false">DEC2HEX(K41,2)</f>
        <v>02</v>
      </c>
      <c r="K41" s="2" t="n">
        <f aca="false">IF(B41=1,128,0)+IF(C41=1,64,0)+IF(D41=1,32,0)+IF(E41=1,16,0)+IF(F41=1,8,0)+IF(G41=1,4,0)+IF(H41=1,2,0)+IF(I41=1,1,0)</f>
        <v>2</v>
      </c>
      <c r="L41" s="10" t="s">
        <v>157</v>
      </c>
      <c r="M41" s="13" t="s">
        <v>210</v>
      </c>
      <c r="O41" s="13"/>
      <c r="P41" s="13"/>
      <c r="Q41" s="13"/>
      <c r="R41" s="13"/>
    </row>
    <row r="42" customFormat="false" ht="14.25" hidden="false" customHeight="false" outlineLevel="0" collapsed="false">
      <c r="A42" s="173"/>
      <c r="B42" s="179"/>
      <c r="C42" s="12"/>
      <c r="D42" s="12"/>
      <c r="E42" s="146" t="n">
        <v>0</v>
      </c>
      <c r="F42" s="180" t="n">
        <v>1</v>
      </c>
      <c r="G42" s="12" t="s">
        <v>63</v>
      </c>
      <c r="H42" s="12" t="n">
        <v>0</v>
      </c>
      <c r="I42" s="124" t="s">
        <v>63</v>
      </c>
      <c r="J42" s="2" t="str">
        <f aca="false">DEC2HEX(K42,2)</f>
        <v>08</v>
      </c>
      <c r="K42" s="2" t="n">
        <f aca="false">IF(B42=1,128,0)+IF(C42=1,64,0)+IF(D42=1,32,0)+IF(E42=1,16,0)+IF(F42=1,8,0)+IF(G42=1,4,0)+IF(H42=1,2,0)+IF(I42=1,1,0)</f>
        <v>8</v>
      </c>
      <c r="L42" s="10" t="s">
        <v>167</v>
      </c>
      <c r="M42" s="13" t="s">
        <v>211</v>
      </c>
      <c r="O42" s="13"/>
      <c r="P42" s="13"/>
      <c r="Q42" s="13"/>
      <c r="R42" s="13"/>
    </row>
    <row r="43" customFormat="false" ht="14.25" hidden="false" customHeight="false" outlineLevel="0" collapsed="false">
      <c r="A43" s="173"/>
      <c r="B43" s="179"/>
      <c r="C43" s="12" t="s">
        <v>63</v>
      </c>
      <c r="D43" s="12" t="s">
        <v>63</v>
      </c>
      <c r="E43" s="146" t="n">
        <v>1</v>
      </c>
      <c r="F43" s="180" t="n">
        <v>1</v>
      </c>
      <c r="G43" s="12" t="s">
        <v>63</v>
      </c>
      <c r="H43" s="12" t="n">
        <v>0</v>
      </c>
      <c r="I43" s="124" t="s">
        <v>63</v>
      </c>
      <c r="J43" s="2" t="str">
        <f aca="false">DEC2HEX(K43,2)</f>
        <v>18</v>
      </c>
      <c r="K43" s="2" t="n">
        <f aca="false">IF(B43=1,128,0)+IF(C43=1,64,0)+IF(D43=1,32,0)+IF(E43=1,16,0)+IF(F43=1,8,0)+IF(G43=1,4,0)+IF(H43=1,2,0)+IF(I43=1,1,0)</f>
        <v>24</v>
      </c>
      <c r="L43" s="10" t="s">
        <v>168</v>
      </c>
      <c r="M43" s="13" t="s">
        <v>212</v>
      </c>
      <c r="O43" s="13"/>
      <c r="P43" s="13"/>
      <c r="Q43" s="13"/>
      <c r="R43" s="13"/>
    </row>
    <row r="44" customFormat="false" ht="14.25" hidden="false" customHeight="false" outlineLevel="0" collapsed="false">
      <c r="A44" s="173"/>
      <c r="B44" s="179"/>
      <c r="C44" s="12"/>
      <c r="D44" s="12" t="n">
        <v>0</v>
      </c>
      <c r="E44" s="146" t="n">
        <v>0</v>
      </c>
      <c r="F44" s="180" t="n">
        <v>0</v>
      </c>
      <c r="G44" s="12" t="s">
        <v>63</v>
      </c>
      <c r="H44" s="12" t="n">
        <v>0</v>
      </c>
      <c r="I44" s="124" t="s">
        <v>63</v>
      </c>
      <c r="J44" s="2" t="str">
        <f aca="false">DEC2HEX(K44,2)</f>
        <v>00</v>
      </c>
      <c r="K44" s="2" t="n">
        <f aca="false">IF(B44=1,128,0)+IF(C44=1,64,0)+IF(D44=1,32,0)+IF(E44=1,16,0)+IF(F44=1,8,0)+IF(G44=1,4,0)+IF(H44=1,2,0)+IF(I44=1,1,0)</f>
        <v>0</v>
      </c>
      <c r="L44" s="10" t="s">
        <v>213</v>
      </c>
      <c r="M44" s="13" t="s">
        <v>214</v>
      </c>
      <c r="O44" s="13"/>
      <c r="P44" s="13"/>
      <c r="Q44" s="13"/>
      <c r="R44" s="13"/>
    </row>
    <row r="45" customFormat="false" ht="14.25" hidden="false" customHeight="false" outlineLevel="0" collapsed="false">
      <c r="A45" s="173"/>
      <c r="B45" s="179"/>
      <c r="C45" s="12"/>
      <c r="D45" s="12" t="n">
        <v>0</v>
      </c>
      <c r="E45" s="146" t="n">
        <v>1</v>
      </c>
      <c r="F45" s="180" t="n">
        <v>0</v>
      </c>
      <c r="G45" s="12" t="s">
        <v>63</v>
      </c>
      <c r="H45" s="12" t="n">
        <v>0</v>
      </c>
      <c r="I45" s="124" t="s">
        <v>63</v>
      </c>
      <c r="J45" s="2" t="str">
        <f aca="false">DEC2HEX(K45,2)</f>
        <v>10</v>
      </c>
      <c r="K45" s="2" t="n">
        <f aca="false">IF(B45=1,128,0)+IF(C45=1,64,0)+IF(D45=1,32,0)+IF(E45=1,16,0)+IF(F45=1,8,0)+IF(G45=1,4,0)+IF(H45=1,2,0)+IF(I45=1,1,0)</f>
        <v>16</v>
      </c>
      <c r="L45" s="10" t="s">
        <v>180</v>
      </c>
      <c r="M45" s="13" t="s">
        <v>215</v>
      </c>
      <c r="O45" s="13"/>
      <c r="P45" s="13"/>
      <c r="Q45" s="13"/>
      <c r="R45" s="13"/>
    </row>
    <row r="46" customFormat="false" ht="14.25" hidden="false" customHeight="false" outlineLevel="0" collapsed="false">
      <c r="A46" s="173"/>
      <c r="B46" s="179"/>
      <c r="C46" s="12"/>
      <c r="D46" s="12" t="n">
        <v>1</v>
      </c>
      <c r="E46" s="146" t="n">
        <v>0</v>
      </c>
      <c r="F46" s="180" t="n">
        <v>0</v>
      </c>
      <c r="G46" s="12" t="s">
        <v>63</v>
      </c>
      <c r="H46" s="12" t="n">
        <v>0</v>
      </c>
      <c r="I46" s="124" t="s">
        <v>63</v>
      </c>
      <c r="J46" s="2" t="str">
        <f aca="false">DEC2HEX(K46,2)</f>
        <v>20</v>
      </c>
      <c r="K46" s="2" t="n">
        <f aca="false">IF(B46=1,128,0)+IF(C46=1,64,0)+IF(D46=1,32,0)+IF(E46=1,16,0)+IF(F46=1,8,0)+IF(G46=1,4,0)+IF(H46=1,2,0)+IF(I46=1,1,0)</f>
        <v>32</v>
      </c>
      <c r="L46" s="10" t="s">
        <v>179</v>
      </c>
      <c r="M46" s="13" t="s">
        <v>216</v>
      </c>
      <c r="O46" s="13"/>
      <c r="P46" s="13"/>
      <c r="Q46" s="13"/>
      <c r="R46" s="13"/>
    </row>
    <row r="47" customFormat="false" ht="14.25" hidden="false" customHeight="false" outlineLevel="0" collapsed="false">
      <c r="A47" s="173"/>
      <c r="B47" s="181"/>
      <c r="C47" s="130" t="s">
        <v>63</v>
      </c>
      <c r="D47" s="130" t="n">
        <v>1</v>
      </c>
      <c r="E47" s="131" t="n">
        <v>1</v>
      </c>
      <c r="F47" s="132" t="n">
        <v>0</v>
      </c>
      <c r="G47" s="130" t="s">
        <v>63</v>
      </c>
      <c r="H47" s="130" t="n">
        <v>0</v>
      </c>
      <c r="I47" s="133" t="s">
        <v>63</v>
      </c>
      <c r="J47" s="2" t="str">
        <f aca="false">DEC2HEX(K47,2)</f>
        <v>30</v>
      </c>
      <c r="K47" s="2" t="n">
        <f aca="false">IF(B47=1,128,0)+IF(C47=1,64,0)+IF(D47=1,32,0)+IF(E47=1,16,0)+IF(F47=1,8,0)+IF(G47=1,4,0)+IF(H47=1,2,0)+IF(I47=1,1,0)</f>
        <v>48</v>
      </c>
      <c r="L47" s="10" t="s">
        <v>181</v>
      </c>
      <c r="M47" s="13" t="s">
        <v>217</v>
      </c>
      <c r="O47" s="13"/>
      <c r="P47" s="13"/>
      <c r="Q47" s="13"/>
      <c r="R47" s="1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86"/>
  <sheetViews>
    <sheetView showFormulas="false" showGridLines="true" showRowColHeaders="true" showZeros="true" rightToLeft="false" tabSelected="true" showOutlineSymbols="true" defaultGridColor="true" view="normal" topLeftCell="A1" colorId="64" zoomScale="106" zoomScaleNormal="106" zoomScalePageLayoutView="100" workbookViewId="0">
      <pane xSplit="0" ySplit="1" topLeftCell="A8" activePane="bottomLeft" state="frozen"/>
      <selection pane="topLeft" activeCell="A1" activeCellId="0" sqref="A1"/>
      <selection pane="bottomLeft" activeCell="Q14" activeCellId="0" sqref="Q14"/>
    </sheetView>
  </sheetViews>
  <sheetFormatPr defaultColWidth="9.00390625" defaultRowHeight="14.25" customHeight="true" zeroHeight="false" outlineLevelRow="1" outlineLevelCol="0"/>
  <cols>
    <col collapsed="false" customWidth="true" hidden="false" outlineLevel="0" max="1" min="1" style="6" width="18.74"/>
    <col collapsed="false" customWidth="true" hidden="false" outlineLevel="0" max="2" min="2" style="20" width="4.79"/>
    <col collapsed="false" customWidth="true" hidden="false" outlineLevel="0" max="3" min="3" style="2" width="4.47"/>
    <col collapsed="false" customWidth="true" hidden="false" outlineLevel="0" max="11" min="4" style="2" width="2.47"/>
    <col collapsed="false" customWidth="true" hidden="false" outlineLevel="0" max="12" min="12" style="1" width="9.34"/>
    <col collapsed="false" customWidth="true" hidden="false" outlineLevel="0" max="13" min="13" style="2" width="17.67"/>
    <col collapsed="false" customWidth="true" hidden="false" outlineLevel="0" max="14" min="14" style="1" width="16.81"/>
    <col collapsed="false" customWidth="true" hidden="false" outlineLevel="0" max="15" min="15" style="5" width="11.75"/>
    <col collapsed="false" customWidth="true" hidden="false" outlineLevel="0" max="16" min="16" style="1" width="88.58"/>
  </cols>
  <sheetData>
    <row r="1" customFormat="false" ht="14.25" hidden="false" customHeight="false" outlineLevel="0" collapsed="false">
      <c r="A1" s="182"/>
      <c r="B1" s="16" t="s">
        <v>42</v>
      </c>
      <c r="C1" s="16" t="s">
        <v>41</v>
      </c>
      <c r="D1" s="24" t="n">
        <v>7</v>
      </c>
      <c r="E1" s="183" t="n">
        <v>6</v>
      </c>
      <c r="F1" s="183" t="n">
        <v>5</v>
      </c>
      <c r="G1" s="25" t="n">
        <v>4</v>
      </c>
      <c r="H1" s="24" t="n">
        <v>3</v>
      </c>
      <c r="I1" s="183" t="n">
        <v>2</v>
      </c>
      <c r="J1" s="183" t="n">
        <v>1</v>
      </c>
      <c r="K1" s="25" t="n">
        <v>0</v>
      </c>
      <c r="L1" s="184" t="s">
        <v>35</v>
      </c>
      <c r="M1" s="185" t="s">
        <v>36</v>
      </c>
      <c r="N1" s="185" t="s">
        <v>1</v>
      </c>
      <c r="O1" s="186" t="s">
        <v>150</v>
      </c>
      <c r="P1" s="187" t="s">
        <v>3</v>
      </c>
    </row>
    <row r="2" customFormat="false" ht="14.25" hidden="false" customHeight="false" outlineLevel="0" collapsed="false">
      <c r="A2" s="188" t="s">
        <v>218</v>
      </c>
      <c r="B2" s="189" t="str">
        <f aca="false">DEC2HEX(C2,2)</f>
        <v>00</v>
      </c>
      <c r="C2" s="151" t="n">
        <f aca="false">IF(D2=1,128,0)+IF(E2=1,64,0)+IF(F2=1,32,0)+IF(G2=1,16,0)+IF(H2=1,8,0)+IF(I2=1,4,0)+IF(J2=1,2,0)+IF(K2=1,1,0)</f>
        <v>0</v>
      </c>
      <c r="D2" s="190"/>
      <c r="E2" s="151"/>
      <c r="F2" s="151"/>
      <c r="G2" s="152"/>
      <c r="H2" s="190" t="n">
        <v>0</v>
      </c>
      <c r="I2" s="151" t="n">
        <v>0</v>
      </c>
      <c r="J2" s="151" t="n">
        <v>0</v>
      </c>
      <c r="K2" s="152" t="n">
        <v>0</v>
      </c>
      <c r="L2" s="191"/>
      <c r="M2" s="192" t="s">
        <v>219</v>
      </c>
      <c r="N2" s="191"/>
      <c r="O2" s="193"/>
      <c r="P2" s="194"/>
    </row>
    <row r="3" customFormat="false" ht="14.25" hidden="false" customHeight="false" outlineLevel="1" collapsed="false">
      <c r="A3" s="195"/>
      <c r="B3" s="16"/>
      <c r="C3" s="105"/>
      <c r="D3" s="48"/>
      <c r="E3" s="105"/>
      <c r="F3" s="105" t="s">
        <v>220</v>
      </c>
      <c r="G3" s="49" t="s">
        <v>220</v>
      </c>
      <c r="H3" s="48"/>
      <c r="I3" s="12"/>
      <c r="J3" s="105"/>
      <c r="K3" s="49"/>
      <c r="L3" s="126"/>
      <c r="M3" s="196"/>
      <c r="N3" s="196" t="s">
        <v>221</v>
      </c>
      <c r="O3" s="197" t="s">
        <v>222</v>
      </c>
      <c r="P3" s="198"/>
    </row>
    <row r="4" customFormat="false" ht="14.25" hidden="false" customHeight="false" outlineLevel="1" collapsed="false">
      <c r="A4" s="195"/>
      <c r="D4" s="48"/>
      <c r="E4" s="105" t="s">
        <v>223</v>
      </c>
      <c r="F4" s="105"/>
      <c r="G4" s="49"/>
      <c r="H4" s="48"/>
      <c r="I4" s="12"/>
      <c r="J4" s="105"/>
      <c r="K4" s="49"/>
      <c r="L4" s="126"/>
      <c r="M4" s="196" t="s">
        <v>224</v>
      </c>
      <c r="N4" s="10"/>
      <c r="O4" s="14"/>
      <c r="P4" s="199"/>
    </row>
    <row r="5" customFormat="false" ht="14.25" hidden="false" customHeight="false" outlineLevel="1" collapsed="false">
      <c r="A5" s="195"/>
      <c r="B5" s="16"/>
      <c r="C5" s="105"/>
      <c r="D5" s="48" t="s">
        <v>225</v>
      </c>
      <c r="E5" s="105"/>
      <c r="F5" s="105"/>
      <c r="G5" s="49"/>
      <c r="H5" s="48"/>
      <c r="I5" s="12"/>
      <c r="J5" s="105"/>
      <c r="K5" s="49"/>
      <c r="L5" s="126"/>
      <c r="M5" s="196" t="s">
        <v>226</v>
      </c>
      <c r="O5" s="197"/>
      <c r="P5" s="198"/>
    </row>
    <row r="6" customFormat="false" ht="14.25" hidden="false" customHeight="false" outlineLevel="1" collapsed="false">
      <c r="A6" s="195"/>
      <c r="D6" s="48"/>
      <c r="E6" s="105"/>
      <c r="F6" s="105"/>
      <c r="G6" s="49"/>
      <c r="H6" s="48"/>
      <c r="I6" s="12"/>
      <c r="J6" s="105"/>
      <c r="K6" s="49"/>
      <c r="L6" s="126" t="s">
        <v>226</v>
      </c>
      <c r="M6" s="196"/>
      <c r="N6" s="10" t="s">
        <v>1</v>
      </c>
      <c r="O6" s="14" t="s">
        <v>227</v>
      </c>
      <c r="P6" s="199"/>
    </row>
    <row r="7" customFormat="false" ht="14.25" hidden="false" customHeight="false" outlineLevel="0" collapsed="false">
      <c r="A7" s="188" t="s">
        <v>228</v>
      </c>
      <c r="B7" s="189" t="str">
        <f aca="false">DEC2HEX(C7,2)</f>
        <v>01</v>
      </c>
      <c r="C7" s="151" t="n">
        <f aca="false">IF(D7=1,128,0)+IF(E7=1,64,0)+IF(F7=1,32,0)+IF(G7=1,16,0)+IF(H7=1,8,0)+IF(I7=1,4,0)+IF(J7=1,2,0)+IF(K7=1,1,0)</f>
        <v>1</v>
      </c>
      <c r="D7" s="190"/>
      <c r="E7" s="151"/>
      <c r="F7" s="151"/>
      <c r="G7" s="152"/>
      <c r="H7" s="190" t="n">
        <v>0</v>
      </c>
      <c r="I7" s="151" t="n">
        <v>0</v>
      </c>
      <c r="J7" s="151" t="n">
        <v>0</v>
      </c>
      <c r="K7" s="152" t="n">
        <v>1</v>
      </c>
      <c r="L7" s="191"/>
      <c r="M7" s="192" t="s">
        <v>229</v>
      </c>
      <c r="N7" s="191"/>
      <c r="O7" s="192"/>
      <c r="P7" s="194"/>
    </row>
    <row r="8" customFormat="false" ht="14.25" hidden="false" customHeight="false" outlineLevel="1" collapsed="false">
      <c r="A8" s="195"/>
      <c r="B8" s="16"/>
      <c r="C8" s="105"/>
      <c r="D8" s="48"/>
      <c r="E8" s="105"/>
      <c r="F8" s="105" t="s">
        <v>220</v>
      </c>
      <c r="G8" s="49" t="s">
        <v>220</v>
      </c>
      <c r="H8" s="48"/>
      <c r="I8" s="12"/>
      <c r="J8" s="105"/>
      <c r="K8" s="49"/>
      <c r="L8" s="126"/>
      <c r="M8" s="196"/>
      <c r="N8" s="1" t="s">
        <v>221</v>
      </c>
      <c r="O8" s="197" t="s">
        <v>222</v>
      </c>
      <c r="P8" s="198" t="s">
        <v>230</v>
      </c>
    </row>
    <row r="9" customFormat="false" ht="14.25" hidden="false" customHeight="false" outlineLevel="1" collapsed="false">
      <c r="A9" s="195"/>
      <c r="B9" s="16"/>
      <c r="C9" s="105"/>
      <c r="D9" s="48" t="s">
        <v>225</v>
      </c>
      <c r="E9" s="105"/>
      <c r="F9" s="105"/>
      <c r="G9" s="49"/>
      <c r="H9" s="48"/>
      <c r="I9" s="12"/>
      <c r="J9" s="105"/>
      <c r="K9" s="49"/>
      <c r="L9" s="126"/>
      <c r="M9" s="196" t="s">
        <v>226</v>
      </c>
      <c r="O9" s="197"/>
      <c r="P9" s="198"/>
    </row>
    <row r="10" customFormat="false" ht="14.25" hidden="false" customHeight="false" outlineLevel="1" collapsed="false">
      <c r="A10" s="195"/>
      <c r="D10" s="200"/>
      <c r="E10" s="105"/>
      <c r="F10" s="105"/>
      <c r="G10" s="49"/>
      <c r="H10" s="200"/>
      <c r="I10" s="105"/>
      <c r="J10" s="105"/>
      <c r="K10" s="49"/>
      <c r="L10" s="126" t="s">
        <v>226</v>
      </c>
      <c r="M10" s="10"/>
      <c r="N10" s="14" t="s">
        <v>1</v>
      </c>
      <c r="O10" s="14" t="s">
        <v>227</v>
      </c>
      <c r="P10" s="199"/>
    </row>
    <row r="11" customFormat="false" ht="14.25" hidden="false" customHeight="false" outlineLevel="0" collapsed="false">
      <c r="A11" s="188" t="s">
        <v>231</v>
      </c>
      <c r="B11" s="189" t="str">
        <f aca="false">DEC2HEX(C11,2)</f>
        <v>02</v>
      </c>
      <c r="C11" s="151" t="n">
        <f aca="false">IF(D11=1,128,0)+IF(E11=1,64,0)+IF(F11=1,32,0)+IF(G11=1,16,0)+IF(H11=1,8,0)+IF(I11=1,4,0)+IF(J11=1,2,0)+IF(K11=1,1,0)</f>
        <v>2</v>
      </c>
      <c r="D11" s="190"/>
      <c r="E11" s="151"/>
      <c r="F11" s="151"/>
      <c r="G11" s="152"/>
      <c r="H11" s="151" t="n">
        <v>0</v>
      </c>
      <c r="I11" s="151" t="n">
        <v>0</v>
      </c>
      <c r="J11" s="151" t="n">
        <v>1</v>
      </c>
      <c r="K11" s="152" t="n">
        <v>0</v>
      </c>
      <c r="L11" s="191"/>
      <c r="M11" s="192" t="s">
        <v>232</v>
      </c>
      <c r="N11" s="191"/>
      <c r="O11" s="193"/>
      <c r="P11" s="194"/>
    </row>
    <row r="12" customFormat="false" ht="14.25" hidden="false" customHeight="false" outlineLevel="1" collapsed="false">
      <c r="A12" s="195"/>
      <c r="B12" s="16"/>
      <c r="C12" s="105"/>
      <c r="D12" s="48"/>
      <c r="E12" s="105"/>
      <c r="F12" s="105" t="s">
        <v>220</v>
      </c>
      <c r="G12" s="49" t="s">
        <v>220</v>
      </c>
      <c r="H12" s="48"/>
      <c r="I12" s="12"/>
      <c r="J12" s="105"/>
      <c r="K12" s="49"/>
      <c r="L12" s="126"/>
      <c r="M12" s="196"/>
      <c r="N12" s="196" t="s">
        <v>233</v>
      </c>
      <c r="O12" s="197" t="s">
        <v>222</v>
      </c>
      <c r="P12" s="201" t="s">
        <v>234</v>
      </c>
    </row>
    <row r="13" customFormat="false" ht="14.25" hidden="false" customHeight="false" outlineLevel="1" collapsed="false">
      <c r="A13" s="195"/>
      <c r="B13" s="16"/>
      <c r="C13" s="105"/>
      <c r="D13" s="48" t="s">
        <v>225</v>
      </c>
      <c r="E13" s="105"/>
      <c r="F13" s="105"/>
      <c r="G13" s="49"/>
      <c r="H13" s="48"/>
      <c r="I13" s="12"/>
      <c r="J13" s="105"/>
      <c r="K13" s="49"/>
      <c r="L13" s="126"/>
      <c r="M13" s="196" t="s">
        <v>226</v>
      </c>
      <c r="O13" s="197"/>
      <c r="P13" s="198"/>
    </row>
    <row r="14" customFormat="false" ht="14.25" hidden="false" customHeight="false" outlineLevel="1" collapsed="false">
      <c r="A14" s="195"/>
      <c r="D14" s="48"/>
      <c r="E14" s="105"/>
      <c r="F14" s="105"/>
      <c r="G14" s="49"/>
      <c r="H14" s="48"/>
      <c r="I14" s="12"/>
      <c r="J14" s="105"/>
      <c r="K14" s="49"/>
      <c r="L14" s="126" t="s">
        <v>226</v>
      </c>
      <c r="M14" s="196"/>
      <c r="N14" s="10" t="s">
        <v>1</v>
      </c>
      <c r="O14" s="14" t="s">
        <v>235</v>
      </c>
      <c r="P14" s="199" t="s">
        <v>236</v>
      </c>
    </row>
    <row r="15" customFormat="false" ht="14.25" hidden="false" customHeight="false" outlineLevel="0" collapsed="false">
      <c r="A15" s="188" t="s">
        <v>156</v>
      </c>
      <c r="B15" s="189" t="str">
        <f aca="false">DEC2HEX(C15,2)</f>
        <v>03</v>
      </c>
      <c r="C15" s="151" t="n">
        <f aca="false">IF(D15=1,128,0)+IF(E15=1,64,0)+IF(F15=1,32,0)+IF(G15=1,16,0)+IF(H15=1,8,0)+IF(I15=1,4,0)+IF(J15=1,2,0)+IF(K15=1,1,0)</f>
        <v>3</v>
      </c>
      <c r="D15" s="190"/>
      <c r="E15" s="151"/>
      <c r="F15" s="151"/>
      <c r="G15" s="152"/>
      <c r="H15" s="151" t="n">
        <v>0</v>
      </c>
      <c r="I15" s="151" t="n">
        <v>0</v>
      </c>
      <c r="J15" s="151" t="n">
        <v>1</v>
      </c>
      <c r="K15" s="152" t="n">
        <v>1</v>
      </c>
      <c r="L15" s="191"/>
      <c r="M15" s="192" t="s">
        <v>93</v>
      </c>
      <c r="N15" s="191"/>
      <c r="O15" s="192"/>
      <c r="P15" s="194"/>
    </row>
    <row r="16" customFormat="false" ht="14.25" hidden="false" customHeight="false" outlineLevel="1" collapsed="false">
      <c r="A16" s="195"/>
      <c r="B16" s="16"/>
      <c r="C16" s="105"/>
      <c r="D16" s="48" t="s">
        <v>225</v>
      </c>
      <c r="E16" s="105"/>
      <c r="F16" s="105"/>
      <c r="G16" s="49"/>
      <c r="H16" s="48"/>
      <c r="I16" s="12"/>
      <c r="J16" s="105"/>
      <c r="K16" s="49"/>
      <c r="L16" s="126"/>
      <c r="M16" s="196" t="s">
        <v>226</v>
      </c>
      <c r="O16" s="197"/>
      <c r="P16" s="198"/>
    </row>
    <row r="17" customFormat="false" ht="14.25" hidden="false" customHeight="false" outlineLevel="1" collapsed="false">
      <c r="A17" s="195"/>
      <c r="B17" s="16"/>
      <c r="C17" s="105"/>
      <c r="D17" s="48"/>
      <c r="E17" s="105"/>
      <c r="F17" s="105"/>
      <c r="G17" s="49"/>
      <c r="H17" s="48"/>
      <c r="I17" s="12"/>
      <c r="J17" s="105"/>
      <c r="K17" s="49"/>
      <c r="L17" s="126"/>
      <c r="M17" s="196"/>
      <c r="N17" s="1" t="s">
        <v>237</v>
      </c>
      <c r="O17" s="197" t="s">
        <v>238</v>
      </c>
      <c r="P17" s="198" t="s">
        <v>239</v>
      </c>
    </row>
    <row r="18" customFormat="false" ht="14.25" hidden="false" customHeight="false" outlineLevel="1" collapsed="false">
      <c r="A18" s="195"/>
      <c r="D18" s="200"/>
      <c r="E18" s="105"/>
      <c r="F18" s="105"/>
      <c r="G18" s="49"/>
      <c r="H18" s="200"/>
      <c r="I18" s="105"/>
      <c r="J18" s="105"/>
      <c r="K18" s="49"/>
      <c r="L18" s="126" t="s">
        <v>226</v>
      </c>
      <c r="M18" s="10"/>
      <c r="N18" s="14" t="s">
        <v>1</v>
      </c>
      <c r="O18" s="14" t="s">
        <v>240</v>
      </c>
      <c r="P18" s="202" t="s">
        <v>241</v>
      </c>
    </row>
    <row r="19" customFormat="false" ht="14.25" hidden="false" customHeight="false" outlineLevel="0" collapsed="false">
      <c r="A19" s="188" t="s">
        <v>242</v>
      </c>
      <c r="B19" s="189" t="str">
        <f aca="false">DEC2HEX(C19,2)</f>
        <v>04</v>
      </c>
      <c r="C19" s="151" t="n">
        <f aca="false">IF(D19=1,128,0)+IF(E19=1,64,0)+IF(F19=1,32,0)+IF(G19=1,16,0)+IF(H19=1,8,0)+IF(I19=1,4,0)+IF(J19=1,2,0)+IF(K19=1,1,0)</f>
        <v>4</v>
      </c>
      <c r="D19" s="190"/>
      <c r="E19" s="151"/>
      <c r="F19" s="151"/>
      <c r="G19" s="152"/>
      <c r="H19" s="151" t="n">
        <v>0</v>
      </c>
      <c r="I19" s="151" t="n">
        <v>1</v>
      </c>
      <c r="J19" s="151" t="n">
        <v>0</v>
      </c>
      <c r="K19" s="152" t="n">
        <v>0</v>
      </c>
      <c r="L19" s="191"/>
      <c r="M19" s="192" t="s">
        <v>243</v>
      </c>
      <c r="N19" s="191"/>
      <c r="O19" s="192"/>
      <c r="P19" s="194"/>
    </row>
    <row r="20" customFormat="false" ht="14.25" hidden="false" customHeight="false" outlineLevel="1" collapsed="false">
      <c r="A20" s="195"/>
      <c r="D20" s="200"/>
      <c r="E20" s="105"/>
      <c r="F20" s="105" t="s">
        <v>220</v>
      </c>
      <c r="G20" s="49" t="s">
        <v>220</v>
      </c>
      <c r="H20" s="105"/>
      <c r="I20" s="105"/>
      <c r="J20" s="105"/>
      <c r="K20" s="49"/>
      <c r="L20" s="126"/>
      <c r="M20" s="10"/>
      <c r="N20" s="1" t="s">
        <v>221</v>
      </c>
      <c r="O20" s="14" t="s">
        <v>222</v>
      </c>
      <c r="P20" s="198"/>
    </row>
    <row r="21" customFormat="false" ht="14.25" hidden="false" customHeight="false" outlineLevel="1" collapsed="false">
      <c r="A21" s="195"/>
      <c r="D21" s="200"/>
      <c r="E21" s="105" t="s">
        <v>223</v>
      </c>
      <c r="F21" s="105"/>
      <c r="G21" s="49"/>
      <c r="H21" s="105"/>
      <c r="I21" s="105"/>
      <c r="J21" s="105"/>
      <c r="K21" s="49"/>
      <c r="L21" s="127"/>
      <c r="M21" s="10" t="s">
        <v>244</v>
      </c>
      <c r="N21" s="10"/>
      <c r="O21" s="127"/>
      <c r="P21" s="198" t="s">
        <v>245</v>
      </c>
    </row>
    <row r="22" customFormat="false" ht="14.25" hidden="false" customHeight="false" outlineLevel="1" collapsed="false">
      <c r="A22" s="195"/>
      <c r="D22" s="200"/>
      <c r="E22" s="105"/>
      <c r="F22" s="105"/>
      <c r="G22" s="49"/>
      <c r="H22" s="105"/>
      <c r="I22" s="105"/>
      <c r="J22" s="105"/>
      <c r="K22" s="49"/>
      <c r="L22" s="127"/>
      <c r="M22" s="10"/>
      <c r="N22" s="10" t="s">
        <v>246</v>
      </c>
      <c r="O22" s="127" t="s">
        <v>67</v>
      </c>
      <c r="P22" s="198"/>
    </row>
    <row r="23" customFormat="false" ht="14.25" hidden="false" customHeight="false" outlineLevel="1" collapsed="false">
      <c r="A23" s="195"/>
      <c r="B23" s="16"/>
      <c r="C23" s="105"/>
      <c r="D23" s="48" t="s">
        <v>225</v>
      </c>
      <c r="E23" s="105"/>
      <c r="F23" s="105"/>
      <c r="G23" s="49"/>
      <c r="H23" s="48"/>
      <c r="I23" s="12"/>
      <c r="J23" s="105"/>
      <c r="K23" s="49"/>
      <c r="L23" s="126"/>
      <c r="M23" s="196" t="s">
        <v>226</v>
      </c>
      <c r="O23" s="197"/>
      <c r="P23" s="198"/>
    </row>
    <row r="24" customFormat="false" ht="14.25" hidden="false" customHeight="false" outlineLevel="1" collapsed="false">
      <c r="A24" s="195"/>
      <c r="D24" s="200"/>
      <c r="E24" s="105"/>
      <c r="F24" s="105"/>
      <c r="G24" s="49"/>
      <c r="H24" s="105"/>
      <c r="I24" s="105"/>
      <c r="J24" s="105"/>
      <c r="K24" s="49"/>
      <c r="L24" s="126" t="s">
        <v>226</v>
      </c>
      <c r="M24" s="10"/>
      <c r="N24" s="10"/>
      <c r="O24" s="14" t="s">
        <v>247</v>
      </c>
      <c r="P24" s="198" t="s">
        <v>248</v>
      </c>
    </row>
    <row r="25" customFormat="false" ht="14.25" hidden="false" customHeight="false" outlineLevel="0" collapsed="false">
      <c r="A25" s="188" t="s">
        <v>249</v>
      </c>
      <c r="B25" s="189" t="str">
        <f aca="false">DEC2HEX(C25,2)</f>
        <v>05</v>
      </c>
      <c r="C25" s="151" t="n">
        <f aca="false">IF(D25=1,128,0)+IF(E25=1,64,0)+IF(F25=1,32,0)+IF(G25=1,16,0)+IF(H25=1,8,0)+IF(I25=1,4,0)+IF(J25=1,2,0)+IF(K25=1,1,0)</f>
        <v>5</v>
      </c>
      <c r="D25" s="190"/>
      <c r="E25" s="151"/>
      <c r="F25" s="151"/>
      <c r="G25" s="152"/>
      <c r="H25" s="151" t="n">
        <v>0</v>
      </c>
      <c r="I25" s="151" t="n">
        <v>1</v>
      </c>
      <c r="J25" s="151" t="n">
        <v>0</v>
      </c>
      <c r="K25" s="152" t="n">
        <v>1</v>
      </c>
      <c r="L25" s="191"/>
      <c r="M25" s="192" t="s">
        <v>250</v>
      </c>
      <c r="N25" s="191"/>
      <c r="O25" s="192"/>
      <c r="P25" s="194"/>
    </row>
    <row r="26" customFormat="false" ht="14.25" hidden="false" customHeight="false" outlineLevel="1" collapsed="false">
      <c r="A26" s="195"/>
      <c r="D26" s="200"/>
      <c r="E26" s="105" t="s">
        <v>223</v>
      </c>
      <c r="F26" s="105"/>
      <c r="G26" s="49"/>
      <c r="H26" s="105"/>
      <c r="I26" s="105"/>
      <c r="J26" s="105"/>
      <c r="K26" s="49"/>
      <c r="L26" s="127"/>
      <c r="M26" s="10" t="s">
        <v>244</v>
      </c>
      <c r="N26" s="10"/>
      <c r="O26" s="127"/>
      <c r="P26" s="198" t="s">
        <v>251</v>
      </c>
    </row>
    <row r="27" customFormat="false" ht="14.25" hidden="false" customHeight="false" outlineLevel="1" collapsed="false">
      <c r="A27" s="195"/>
      <c r="D27" s="200"/>
      <c r="E27" s="105"/>
      <c r="F27" s="105"/>
      <c r="G27" s="49"/>
      <c r="H27" s="105"/>
      <c r="I27" s="105"/>
      <c r="J27" s="105"/>
      <c r="K27" s="49"/>
      <c r="L27" s="127"/>
      <c r="M27" s="10"/>
      <c r="N27" s="10" t="s">
        <v>246</v>
      </c>
      <c r="O27" s="127" t="s">
        <v>67</v>
      </c>
      <c r="P27" s="198"/>
    </row>
    <row r="28" customFormat="false" ht="14.25" hidden="false" customHeight="false" outlineLevel="1" collapsed="false">
      <c r="A28" s="195"/>
      <c r="B28" s="16"/>
      <c r="C28" s="105"/>
      <c r="D28" s="48" t="s">
        <v>225</v>
      </c>
      <c r="E28" s="105"/>
      <c r="F28" s="105"/>
      <c r="G28" s="49"/>
      <c r="H28" s="48"/>
      <c r="I28" s="12"/>
      <c r="J28" s="105"/>
      <c r="K28" s="49"/>
      <c r="L28" s="126"/>
      <c r="M28" s="196" t="s">
        <v>226</v>
      </c>
      <c r="O28" s="197"/>
      <c r="P28" s="198"/>
    </row>
    <row r="29" customFormat="false" ht="14.25" hidden="false" customHeight="false" outlineLevel="1" collapsed="false">
      <c r="A29" s="195"/>
      <c r="D29" s="200"/>
      <c r="E29" s="105"/>
      <c r="F29" s="105"/>
      <c r="G29" s="49"/>
      <c r="H29" s="200"/>
      <c r="I29" s="105"/>
      <c r="J29" s="105"/>
      <c r="K29" s="49"/>
      <c r="L29" s="126" t="s">
        <v>226</v>
      </c>
      <c r="M29" s="10"/>
      <c r="N29" s="14" t="s">
        <v>1</v>
      </c>
      <c r="O29" s="14" t="s">
        <v>252</v>
      </c>
      <c r="P29" s="202" t="s">
        <v>241</v>
      </c>
    </row>
    <row r="30" customFormat="false" ht="14.25" hidden="false" customHeight="false" outlineLevel="0" collapsed="false">
      <c r="A30" s="188" t="s">
        <v>253</v>
      </c>
      <c r="B30" s="189" t="str">
        <f aca="false">DEC2HEX(C30,2)</f>
        <v>06</v>
      </c>
      <c r="C30" s="151" t="n">
        <f aca="false">IF(D30=1,128,0)+IF(E30=1,64,0)+IF(F30=1,32,0)+IF(G30=1,16,0)+IF(H30=1,8,0)+IF(I30=1,4,0)+IF(J30=1,2,0)+IF(K30=1,1,0)</f>
        <v>6</v>
      </c>
      <c r="D30" s="190"/>
      <c r="E30" s="151"/>
      <c r="F30" s="151"/>
      <c r="G30" s="152"/>
      <c r="H30" s="151" t="n">
        <v>0</v>
      </c>
      <c r="I30" s="151" t="n">
        <v>1</v>
      </c>
      <c r="J30" s="151" t="n">
        <v>1</v>
      </c>
      <c r="K30" s="152" t="n">
        <v>0</v>
      </c>
      <c r="L30" s="191"/>
      <c r="M30" s="192" t="s">
        <v>254</v>
      </c>
      <c r="N30" s="191"/>
      <c r="O30" s="192"/>
      <c r="P30" s="203" t="s">
        <v>255</v>
      </c>
    </row>
    <row r="31" customFormat="false" ht="14.25" hidden="false" customHeight="false" outlineLevel="1" collapsed="false">
      <c r="A31" s="195"/>
      <c r="D31" s="200"/>
      <c r="E31" s="105"/>
      <c r="F31" s="105" t="n">
        <v>0</v>
      </c>
      <c r="G31" s="49" t="n">
        <v>0</v>
      </c>
      <c r="H31" s="105"/>
      <c r="I31" s="105"/>
      <c r="J31" s="105"/>
      <c r="K31" s="49"/>
      <c r="M31" s="127" t="s">
        <v>256</v>
      </c>
      <c r="P31" s="198"/>
    </row>
    <row r="32" customFormat="false" ht="14.25" hidden="false" customHeight="false" outlineLevel="1" collapsed="false">
      <c r="A32" s="195"/>
      <c r="D32" s="200"/>
      <c r="E32" s="105"/>
      <c r="F32" s="105" t="n">
        <v>0</v>
      </c>
      <c r="G32" s="49" t="n">
        <v>1</v>
      </c>
      <c r="H32" s="105"/>
      <c r="I32" s="105"/>
      <c r="J32" s="105"/>
      <c r="K32" s="49"/>
      <c r="M32" s="196" t="s">
        <v>257</v>
      </c>
      <c r="P32" s="198"/>
    </row>
    <row r="33" customFormat="false" ht="14.25" hidden="false" customHeight="false" outlineLevel="1" collapsed="false">
      <c r="A33" s="195"/>
      <c r="D33" s="200"/>
      <c r="E33" s="105"/>
      <c r="F33" s="105" t="n">
        <v>1</v>
      </c>
      <c r="G33" s="49" t="n">
        <v>0</v>
      </c>
      <c r="H33" s="105"/>
      <c r="I33" s="105"/>
      <c r="J33" s="105"/>
      <c r="K33" s="49"/>
      <c r="M33" s="196" t="s">
        <v>258</v>
      </c>
      <c r="P33" s="198"/>
    </row>
    <row r="34" customFormat="false" ht="14.25" hidden="false" customHeight="false" outlineLevel="1" collapsed="false">
      <c r="A34" s="195"/>
      <c r="D34" s="200"/>
      <c r="E34" s="105"/>
      <c r="F34" s="105" t="n">
        <v>1</v>
      </c>
      <c r="G34" s="49" t="n">
        <v>1</v>
      </c>
      <c r="H34" s="105"/>
      <c r="I34" s="105"/>
      <c r="J34" s="105"/>
      <c r="K34" s="49"/>
      <c r="M34" s="10" t="s">
        <v>259</v>
      </c>
      <c r="P34" s="198"/>
    </row>
    <row r="35" customFormat="false" ht="14.25" hidden="false" customHeight="false" outlineLevel="1" collapsed="false">
      <c r="A35" s="195"/>
      <c r="D35" s="200"/>
      <c r="E35" s="105" t="s">
        <v>260</v>
      </c>
      <c r="F35" s="105"/>
      <c r="G35" s="49"/>
      <c r="H35" s="105"/>
      <c r="I35" s="105"/>
      <c r="J35" s="105"/>
      <c r="K35" s="49"/>
      <c r="M35" s="127" t="s">
        <v>261</v>
      </c>
      <c r="P35" s="198" t="s">
        <v>262</v>
      </c>
    </row>
    <row r="36" customFormat="false" ht="14.25" hidden="false" customHeight="false" outlineLevel="1" collapsed="false">
      <c r="A36" s="195"/>
      <c r="B36" s="16"/>
      <c r="C36" s="105"/>
      <c r="D36" s="48" t="s">
        <v>225</v>
      </c>
      <c r="E36" s="105"/>
      <c r="F36" s="105"/>
      <c r="G36" s="49"/>
      <c r="H36" s="48"/>
      <c r="I36" s="12"/>
      <c r="J36" s="105"/>
      <c r="K36" s="49"/>
      <c r="L36" s="126"/>
      <c r="M36" s="196" t="s">
        <v>226</v>
      </c>
      <c r="O36" s="197"/>
      <c r="P36" s="198"/>
    </row>
    <row r="37" customFormat="false" ht="14.25" hidden="false" customHeight="false" outlineLevel="1" collapsed="false">
      <c r="A37" s="195"/>
      <c r="D37" s="200"/>
      <c r="E37" s="105"/>
      <c r="F37" s="105"/>
      <c r="G37" s="49"/>
      <c r="H37" s="105"/>
      <c r="I37" s="105"/>
      <c r="J37" s="105"/>
      <c r="K37" s="49"/>
      <c r="L37" s="126" t="s">
        <v>226</v>
      </c>
      <c r="M37" s="127"/>
      <c r="O37" s="5" t="s">
        <v>263</v>
      </c>
      <c r="P37" s="198" t="s">
        <v>264</v>
      </c>
    </row>
    <row r="38" customFormat="false" ht="14.25" hidden="false" customHeight="false" outlineLevel="0" collapsed="false">
      <c r="A38" s="188" t="s">
        <v>265</v>
      </c>
      <c r="B38" s="189" t="str">
        <f aca="false">DEC2HEX(C38,2)</f>
        <v>07</v>
      </c>
      <c r="C38" s="151" t="n">
        <f aca="false">IF(D38=1,128,0)+IF(E38=1,64,0)+IF(F38=1,32,0)+IF(G38=1,16,0)+IF(H38=1,8,0)+IF(I38=1,4,0)+IF(J38=1,2,0)+IF(K38=1,1,0)</f>
        <v>7</v>
      </c>
      <c r="D38" s="190"/>
      <c r="E38" s="151"/>
      <c r="F38" s="151"/>
      <c r="G38" s="152"/>
      <c r="H38" s="151" t="n">
        <v>0</v>
      </c>
      <c r="I38" s="151" t="n">
        <v>1</v>
      </c>
      <c r="J38" s="151" t="n">
        <v>1</v>
      </c>
      <c r="K38" s="152" t="n">
        <v>1</v>
      </c>
      <c r="L38" s="191"/>
      <c r="M38" s="192" t="s">
        <v>266</v>
      </c>
      <c r="N38" s="191"/>
      <c r="O38" s="192"/>
      <c r="P38" s="194"/>
    </row>
    <row r="39" customFormat="false" ht="14.25" hidden="false" customHeight="false" outlineLevel="1" collapsed="false">
      <c r="A39" s="195"/>
      <c r="D39" s="200"/>
      <c r="E39" s="105"/>
      <c r="F39" s="105" t="n">
        <v>0</v>
      </c>
      <c r="G39" s="49" t="n">
        <v>0</v>
      </c>
      <c r="H39" s="105"/>
      <c r="I39" s="105"/>
      <c r="J39" s="105"/>
      <c r="K39" s="49"/>
      <c r="M39" s="127" t="s">
        <v>267</v>
      </c>
      <c r="P39" s="204" t="s">
        <v>268</v>
      </c>
    </row>
    <row r="40" customFormat="false" ht="14.25" hidden="false" customHeight="false" outlineLevel="1" collapsed="false">
      <c r="A40" s="195"/>
      <c r="D40" s="200"/>
      <c r="E40" s="105"/>
      <c r="F40" s="105" t="n">
        <v>0</v>
      </c>
      <c r="G40" s="49" t="n">
        <v>1</v>
      </c>
      <c r="H40" s="105"/>
      <c r="I40" s="105"/>
      <c r="J40" s="105"/>
      <c r="K40" s="49"/>
      <c r="M40" s="196" t="s">
        <v>257</v>
      </c>
      <c r="P40" s="204" t="s">
        <v>269</v>
      </c>
    </row>
    <row r="41" customFormat="false" ht="14.25" hidden="false" customHeight="false" outlineLevel="1" collapsed="false">
      <c r="A41" s="195"/>
      <c r="D41" s="200"/>
      <c r="E41" s="105"/>
      <c r="F41" s="105" t="n">
        <v>1</v>
      </c>
      <c r="G41" s="49" t="n">
        <v>0</v>
      </c>
      <c r="H41" s="105"/>
      <c r="I41" s="105"/>
      <c r="J41" s="105"/>
      <c r="K41" s="49"/>
      <c r="M41" s="196" t="s">
        <v>258</v>
      </c>
      <c r="P41" s="204" t="s">
        <v>270</v>
      </c>
    </row>
    <row r="42" customFormat="false" ht="14.25" hidden="false" customHeight="false" outlineLevel="1" collapsed="false">
      <c r="A42" s="195"/>
      <c r="D42" s="200"/>
      <c r="E42" s="105"/>
      <c r="F42" s="105" t="n">
        <v>1</v>
      </c>
      <c r="G42" s="49" t="n">
        <v>1</v>
      </c>
      <c r="H42" s="105"/>
      <c r="I42" s="105"/>
      <c r="J42" s="105"/>
      <c r="K42" s="49"/>
      <c r="M42" s="10" t="s">
        <v>259</v>
      </c>
      <c r="P42" s="204" t="s">
        <v>271</v>
      </c>
    </row>
    <row r="43" customFormat="false" ht="14.25" hidden="false" customHeight="false" outlineLevel="1" collapsed="false">
      <c r="A43" s="195"/>
      <c r="D43" s="200"/>
      <c r="E43" s="105"/>
      <c r="F43" s="105"/>
      <c r="G43" s="49"/>
      <c r="H43" s="105"/>
      <c r="I43" s="105"/>
      <c r="J43" s="105"/>
      <c r="K43" s="49"/>
      <c r="M43" s="10"/>
      <c r="O43" s="1"/>
      <c r="P43" s="205" t="s">
        <v>272</v>
      </c>
    </row>
    <row r="44" customFormat="false" ht="14.25" hidden="false" customHeight="false" outlineLevel="1" collapsed="false">
      <c r="A44" s="195"/>
      <c r="D44" s="200"/>
      <c r="E44" s="105"/>
      <c r="F44" s="105"/>
      <c r="G44" s="49"/>
      <c r="H44" s="105"/>
      <c r="I44" s="105"/>
      <c r="J44" s="105"/>
      <c r="K44" s="49"/>
      <c r="M44" s="10"/>
      <c r="O44" s="1"/>
      <c r="P44" s="205" t="s">
        <v>273</v>
      </c>
    </row>
    <row r="45" customFormat="false" ht="14.25" hidden="false" customHeight="false" outlineLevel="1" collapsed="false">
      <c r="A45" s="195"/>
      <c r="D45" s="200"/>
      <c r="E45" s="105"/>
      <c r="F45" s="105"/>
      <c r="G45" s="49"/>
      <c r="H45" s="105"/>
      <c r="I45" s="105"/>
      <c r="J45" s="105"/>
      <c r="K45" s="49"/>
      <c r="M45" s="10"/>
      <c r="O45" s="1"/>
      <c r="P45" s="205" t="s">
        <v>274</v>
      </c>
    </row>
    <row r="46" customFormat="false" ht="14.25" hidden="false" customHeight="false" outlineLevel="1" collapsed="false">
      <c r="A46" s="195"/>
      <c r="B46" s="16"/>
      <c r="C46" s="105"/>
      <c r="D46" s="48" t="s">
        <v>225</v>
      </c>
      <c r="E46" s="105"/>
      <c r="F46" s="105"/>
      <c r="G46" s="49"/>
      <c r="H46" s="48"/>
      <c r="I46" s="12"/>
      <c r="J46" s="105"/>
      <c r="K46" s="49"/>
      <c r="L46" s="126"/>
      <c r="M46" s="196" t="s">
        <v>226</v>
      </c>
      <c r="O46" s="197"/>
      <c r="P46" s="198"/>
    </row>
    <row r="47" customFormat="false" ht="14.25" hidden="false" customHeight="false" outlineLevel="1" collapsed="false">
      <c r="A47" s="195"/>
      <c r="B47" s="16"/>
      <c r="C47" s="105"/>
      <c r="D47" s="48"/>
      <c r="E47" s="105"/>
      <c r="F47" s="105"/>
      <c r="G47" s="49"/>
      <c r="H47" s="48"/>
      <c r="I47" s="12"/>
      <c r="J47" s="105"/>
      <c r="K47" s="49"/>
      <c r="L47" s="196" t="s">
        <v>226</v>
      </c>
      <c r="M47" s="196"/>
      <c r="N47" s="1" t="s">
        <v>275</v>
      </c>
      <c r="O47" s="197" t="s">
        <v>276</v>
      </c>
      <c r="P47" s="198"/>
    </row>
    <row r="48" customFormat="false" ht="14.25" hidden="false" customHeight="false" outlineLevel="1" collapsed="false">
      <c r="A48" s="206"/>
      <c r="B48" s="207"/>
      <c r="C48" s="130"/>
      <c r="D48" s="129"/>
      <c r="E48" s="130"/>
      <c r="F48" s="130"/>
      <c r="G48" s="133"/>
      <c r="H48" s="130"/>
      <c r="I48" s="130"/>
      <c r="J48" s="130"/>
      <c r="K48" s="133"/>
      <c r="L48" s="196" t="s">
        <v>226</v>
      </c>
      <c r="M48" s="208"/>
      <c r="N48" s="14" t="s">
        <v>1</v>
      </c>
      <c r="O48" s="1" t="s">
        <v>275</v>
      </c>
      <c r="P48" s="202" t="s">
        <v>241</v>
      </c>
    </row>
    <row r="49" customFormat="false" ht="14.25" hidden="false" customHeight="false" outlineLevel="0" collapsed="false">
      <c r="A49" s="188" t="s">
        <v>277</v>
      </c>
      <c r="B49" s="189" t="str">
        <f aca="false">DEC2HEX(C49,2)</f>
        <v>0A</v>
      </c>
      <c r="C49" s="151" t="n">
        <f aca="false">IF(D49=1,128,0)+IF(E49=1,64,0)+IF(F49=1,32,0)+IF(G49=1,16,0)+IF(H49=1,8,0)+IF(I49=1,4,0)+IF(J49=1,2,0)+IF(K49=1,1,0)</f>
        <v>10</v>
      </c>
      <c r="D49" s="190"/>
      <c r="E49" s="151"/>
      <c r="F49" s="151"/>
      <c r="G49" s="152"/>
      <c r="H49" s="151" t="n">
        <v>1</v>
      </c>
      <c r="I49" s="151" t="n">
        <v>0</v>
      </c>
      <c r="J49" s="151" t="n">
        <v>1</v>
      </c>
      <c r="K49" s="152" t="n">
        <v>0</v>
      </c>
      <c r="L49" s="191"/>
      <c r="M49" s="192" t="s">
        <v>278</v>
      </c>
      <c r="N49" s="191"/>
      <c r="O49" s="192"/>
      <c r="P49" s="194"/>
    </row>
    <row r="50" customFormat="false" ht="14.25" hidden="false" customHeight="false" outlineLevel="1" collapsed="false">
      <c r="A50" s="195"/>
      <c r="B50" s="16"/>
      <c r="C50" s="105"/>
      <c r="D50" s="48" t="s">
        <v>225</v>
      </c>
      <c r="E50" s="105"/>
      <c r="F50" s="105"/>
      <c r="G50" s="49"/>
      <c r="H50" s="48"/>
      <c r="I50" s="12"/>
      <c r="J50" s="105"/>
      <c r="K50" s="49"/>
      <c r="L50" s="126"/>
      <c r="M50" s="196" t="s">
        <v>226</v>
      </c>
      <c r="O50" s="197"/>
      <c r="P50" s="198"/>
    </row>
    <row r="51" customFormat="false" ht="14.25" hidden="false" customHeight="false" outlineLevel="1" collapsed="false">
      <c r="A51" s="195"/>
      <c r="D51" s="200"/>
      <c r="E51" s="105"/>
      <c r="F51" s="105"/>
      <c r="G51" s="49"/>
      <c r="H51" s="105"/>
      <c r="I51" s="105"/>
      <c r="J51" s="105"/>
      <c r="K51" s="49"/>
      <c r="L51" s="196" t="s">
        <v>226</v>
      </c>
      <c r="M51" s="127"/>
      <c r="N51" s="10" t="s">
        <v>1</v>
      </c>
      <c r="O51" s="14" t="s">
        <v>279</v>
      </c>
      <c r="P51" s="198" t="s">
        <v>280</v>
      </c>
    </row>
    <row r="52" customFormat="false" ht="14.25" hidden="false" customHeight="false" outlineLevel="0" collapsed="false">
      <c r="A52" s="188" t="s">
        <v>281</v>
      </c>
      <c r="B52" s="189" t="str">
        <f aca="false">DEC2HEX(C52,2)</f>
        <v>0C</v>
      </c>
      <c r="C52" s="151" t="n">
        <f aca="false">IF(D52=1,128,0)+IF(E52=1,64,0)+IF(F52=1,32,0)+IF(G52=1,16,0)+IF(H52=1,8,0)+IF(I52=1,4,0)+IF(J52=1,2,0)+IF(K52=1,1,0)</f>
        <v>12</v>
      </c>
      <c r="D52" s="190"/>
      <c r="E52" s="151"/>
      <c r="F52" s="151"/>
      <c r="G52" s="152"/>
      <c r="H52" s="151" t="n">
        <v>1</v>
      </c>
      <c r="I52" s="151" t="n">
        <v>1</v>
      </c>
      <c r="J52" s="151" t="n">
        <v>0</v>
      </c>
      <c r="K52" s="152" t="n">
        <v>0</v>
      </c>
      <c r="L52" s="191"/>
      <c r="M52" s="191" t="s">
        <v>282</v>
      </c>
      <c r="N52" s="191"/>
      <c r="O52" s="192"/>
      <c r="P52" s="194"/>
    </row>
    <row r="53" customFormat="false" ht="14.25" hidden="false" customHeight="false" outlineLevel="1" collapsed="false">
      <c r="A53" s="195"/>
      <c r="D53" s="200" t="s">
        <v>225</v>
      </c>
      <c r="E53" s="105"/>
      <c r="F53" s="105"/>
      <c r="G53" s="49"/>
      <c r="H53" s="105"/>
      <c r="I53" s="105"/>
      <c r="J53" s="105"/>
      <c r="K53" s="49"/>
      <c r="M53" s="196" t="s">
        <v>226</v>
      </c>
      <c r="N53" s="196"/>
      <c r="O53" s="126" t="n">
        <v>0</v>
      </c>
      <c r="P53" s="198"/>
    </row>
    <row r="54" customFormat="false" ht="14.25" hidden="false" customHeight="false" outlineLevel="1" collapsed="false">
      <c r="A54" s="195"/>
      <c r="D54" s="200"/>
      <c r="E54" s="105"/>
      <c r="F54" s="105"/>
      <c r="G54" s="49" t="n">
        <v>0</v>
      </c>
      <c r="H54" s="105"/>
      <c r="I54" s="105"/>
      <c r="J54" s="105"/>
      <c r="K54" s="49"/>
      <c r="L54" s="196" t="s">
        <v>226</v>
      </c>
      <c r="M54" s="196" t="s">
        <v>283</v>
      </c>
      <c r="N54" s="196"/>
      <c r="O54" s="126" t="n">
        <v>0</v>
      </c>
      <c r="P54" s="198" t="s">
        <v>284</v>
      </c>
    </row>
    <row r="55" customFormat="false" ht="14.25" hidden="false" customHeight="false" outlineLevel="1" collapsed="false">
      <c r="A55" s="195"/>
      <c r="D55" s="200"/>
      <c r="E55" s="105"/>
      <c r="F55" s="105"/>
      <c r="G55" s="49" t="n">
        <v>1</v>
      </c>
      <c r="H55" s="105"/>
      <c r="I55" s="105"/>
      <c r="J55" s="105"/>
      <c r="K55" s="49"/>
      <c r="L55" s="196" t="s">
        <v>226</v>
      </c>
      <c r="M55" s="196" t="s">
        <v>285</v>
      </c>
      <c r="N55" s="196"/>
      <c r="O55" s="126" t="n">
        <v>0</v>
      </c>
      <c r="P55" s="198" t="s">
        <v>286</v>
      </c>
    </row>
    <row r="56" customFormat="false" ht="14.25" hidden="false" customHeight="false" outlineLevel="0" collapsed="false">
      <c r="A56" s="188"/>
      <c r="B56" s="189" t="str">
        <f aca="false">DEC2HEX(C56,2)</f>
        <v>00</v>
      </c>
      <c r="C56" s="151" t="n">
        <f aca="false">IF(D56=1,128,0)+IF(E56=1,64,0)+IF(F56=1,32,0)+IF(G56=1,16,0)+IF(H56=1,8,0)+IF(I56=1,4,0)+IF(J56=1,2,0)+IF(K56=1,1,0)</f>
        <v>0</v>
      </c>
      <c r="D56" s="190"/>
      <c r="E56" s="151"/>
      <c r="F56" s="151"/>
      <c r="G56" s="152"/>
      <c r="H56" s="151"/>
      <c r="I56" s="151"/>
      <c r="J56" s="151"/>
      <c r="K56" s="152"/>
      <c r="L56" s="191"/>
      <c r="M56" s="191"/>
      <c r="N56" s="191"/>
      <c r="O56" s="192"/>
      <c r="P56" s="194"/>
    </row>
    <row r="57" customFormat="false" ht="14.25" hidden="false" customHeight="false" outlineLevel="1" collapsed="false">
      <c r="A57" s="195"/>
      <c r="D57" s="200"/>
      <c r="E57" s="105"/>
      <c r="F57" s="105"/>
      <c r="G57" s="49"/>
      <c r="H57" s="105"/>
      <c r="I57" s="105"/>
      <c r="J57" s="105"/>
      <c r="K57" s="49"/>
      <c r="M57" s="196"/>
      <c r="N57" s="196"/>
      <c r="O57" s="126"/>
      <c r="P57" s="198"/>
    </row>
    <row r="58" customFormat="false" ht="14.25" hidden="false" customHeight="false" outlineLevel="1" collapsed="false">
      <c r="A58" s="195"/>
      <c r="D58" s="200"/>
      <c r="E58" s="105"/>
      <c r="F58" s="105"/>
      <c r="G58" s="49"/>
      <c r="H58" s="105"/>
      <c r="I58" s="105"/>
      <c r="J58" s="105"/>
      <c r="K58" s="49"/>
      <c r="M58" s="196"/>
      <c r="N58" s="196"/>
      <c r="O58" s="126"/>
      <c r="P58" s="198"/>
    </row>
    <row r="59" customFormat="false" ht="14.25" hidden="false" customHeight="false" outlineLevel="1" collapsed="false">
      <c r="A59" s="195"/>
      <c r="D59" s="200"/>
      <c r="E59" s="105"/>
      <c r="F59" s="105"/>
      <c r="G59" s="49"/>
      <c r="H59" s="105"/>
      <c r="I59" s="105"/>
      <c r="J59" s="105"/>
      <c r="K59" s="49"/>
      <c r="M59" s="196"/>
      <c r="N59" s="196"/>
      <c r="O59" s="126"/>
      <c r="P59" s="198"/>
    </row>
    <row r="60" customFormat="false" ht="14.25" hidden="false" customHeight="false" outlineLevel="1" collapsed="false">
      <c r="A60" s="195"/>
      <c r="D60" s="200"/>
      <c r="E60" s="105"/>
      <c r="F60" s="105"/>
      <c r="G60" s="49"/>
      <c r="H60" s="105"/>
      <c r="I60" s="105"/>
      <c r="J60" s="105"/>
      <c r="K60" s="49"/>
      <c r="M60" s="196"/>
      <c r="N60" s="196"/>
      <c r="O60" s="126"/>
      <c r="P60" s="198"/>
    </row>
    <row r="61" customFormat="false" ht="14.25" hidden="false" customHeight="false" outlineLevel="0" collapsed="false">
      <c r="A61" s="195"/>
      <c r="D61" s="200"/>
      <c r="E61" s="105"/>
      <c r="F61" s="105"/>
      <c r="G61" s="49"/>
      <c r="H61" s="105"/>
      <c r="I61" s="105"/>
      <c r="J61" s="105"/>
      <c r="K61" s="49"/>
      <c r="M61" s="196"/>
      <c r="N61" s="196"/>
      <c r="O61" s="126"/>
      <c r="P61" s="198"/>
    </row>
    <row r="62" customFormat="false" ht="14.25" hidden="false" customHeight="false" outlineLevel="0" collapsed="false">
      <c r="A62" s="188" t="s">
        <v>206</v>
      </c>
      <c r="B62" s="189"/>
      <c r="C62" s="151"/>
      <c r="D62" s="190"/>
      <c r="E62" s="151"/>
      <c r="F62" s="151"/>
      <c r="G62" s="152"/>
      <c r="H62" s="190"/>
      <c r="I62" s="151"/>
      <c r="J62" s="151"/>
      <c r="K62" s="152"/>
      <c r="L62" s="192"/>
      <c r="M62" s="191"/>
      <c r="N62" s="191"/>
      <c r="O62" s="192"/>
      <c r="P62" s="194"/>
    </row>
    <row r="63" customFormat="false" ht="14.25" hidden="false" customHeight="false" outlineLevel="1" collapsed="false">
      <c r="A63" s="209" t="s">
        <v>287</v>
      </c>
      <c r="B63" s="183" t="str">
        <f aca="false">DEC2HEX(C63,2)</f>
        <v>00</v>
      </c>
      <c r="C63" s="210" t="n">
        <f aca="false">IF(D63=1,128,0)+IF(E63=1,64,0)+IF(F63=1,32,0)+IF(G63=1,16,0)+IF(H63=1,8,0)+IF(I63=1,4,0)+IF(J63=1,2,0)+IF(K63=1,1,0)</f>
        <v>0</v>
      </c>
      <c r="D63" s="211" t="n">
        <v>0</v>
      </c>
      <c r="E63" s="175" t="n">
        <v>0</v>
      </c>
      <c r="F63" s="175" t="n">
        <v>0</v>
      </c>
      <c r="G63" s="212" t="n">
        <v>0</v>
      </c>
      <c r="H63" s="211" t="n">
        <v>0</v>
      </c>
      <c r="I63" s="175" t="n">
        <v>0</v>
      </c>
      <c r="J63" s="175" t="n">
        <v>0</v>
      </c>
      <c r="K63" s="212" t="n">
        <v>0</v>
      </c>
      <c r="L63" s="213"/>
      <c r="M63" s="214"/>
      <c r="N63" s="214"/>
      <c r="O63" s="213"/>
      <c r="P63" s="215"/>
    </row>
    <row r="64" customFormat="false" ht="14.25" hidden="false" customHeight="false" outlineLevel="1" collapsed="false">
      <c r="A64" s="195" t="s">
        <v>288</v>
      </c>
      <c r="B64" s="20" t="str">
        <f aca="false">DEC2HEX(C64,2)</f>
        <v>40</v>
      </c>
      <c r="C64" s="2" t="n">
        <f aca="false">IF(D64=1,128,0)+IF(E64=1,64,0)+IF(F64=1,32,0)+IF(G64=1,16,0)+IF(H64=1,8,0)+IF(I64=1,4,0)+IF(J64=1,2,0)+IF(K64=1,1,0)</f>
        <v>64</v>
      </c>
      <c r="D64" s="48" t="n">
        <v>0</v>
      </c>
      <c r="E64" s="105" t="n">
        <v>1</v>
      </c>
      <c r="F64" s="105" t="n">
        <v>0</v>
      </c>
      <c r="G64" s="49" t="n">
        <v>0</v>
      </c>
      <c r="H64" s="48" t="n">
        <v>0</v>
      </c>
      <c r="I64" s="105" t="n">
        <v>0</v>
      </c>
      <c r="J64" s="105" t="n">
        <v>0</v>
      </c>
      <c r="K64" s="49" t="n">
        <v>0</v>
      </c>
      <c r="L64" s="126"/>
      <c r="M64" s="196"/>
      <c r="N64" s="196"/>
      <c r="O64" s="126"/>
      <c r="P64" s="198"/>
    </row>
    <row r="65" customFormat="false" ht="14.25" hidden="false" customHeight="false" outlineLevel="1" collapsed="false">
      <c r="A65" s="195" t="s">
        <v>289</v>
      </c>
      <c r="B65" s="20" t="str">
        <f aca="false">DEC2HEX(C65,2)</f>
        <v>80</v>
      </c>
      <c r="C65" s="2" t="n">
        <f aca="false">IF(D65=1,128,0)+IF(E65=1,64,0)+IF(F65=1,32,0)+IF(G65=1,16,0)+IF(H65=1,8,0)+IF(I65=1,4,0)+IF(J65=1,2,0)+IF(K65=1,1,0)</f>
        <v>128</v>
      </c>
      <c r="D65" s="48" t="n">
        <v>1</v>
      </c>
      <c r="E65" s="105" t="n">
        <v>0</v>
      </c>
      <c r="F65" s="105" t="n">
        <v>0</v>
      </c>
      <c r="G65" s="49" t="n">
        <v>0</v>
      </c>
      <c r="H65" s="48" t="n">
        <v>0</v>
      </c>
      <c r="I65" s="105" t="n">
        <v>0</v>
      </c>
      <c r="J65" s="105" t="n">
        <v>0</v>
      </c>
      <c r="K65" s="49" t="n">
        <v>0</v>
      </c>
      <c r="L65" s="126"/>
      <c r="M65" s="196"/>
      <c r="N65" s="196"/>
      <c r="O65" s="126"/>
      <c r="P65" s="198"/>
    </row>
    <row r="66" customFormat="false" ht="14.25" hidden="false" customHeight="false" outlineLevel="1" collapsed="false">
      <c r="A66" s="206" t="s">
        <v>290</v>
      </c>
      <c r="B66" s="207" t="str">
        <f aca="false">DEC2HEX(C66,2)</f>
        <v>C0</v>
      </c>
      <c r="C66" s="130" t="n">
        <f aca="false">IF(D66=1,128,0)+IF(E66=1,64,0)+IF(F66=1,32,0)+IF(G66=1,16,0)+IF(H66=1,8,0)+IF(I66=1,4,0)+IF(J66=1,2,0)+IF(K66=1,1,0)</f>
        <v>192</v>
      </c>
      <c r="D66" s="129" t="n">
        <v>1</v>
      </c>
      <c r="E66" s="130" t="n">
        <v>1</v>
      </c>
      <c r="F66" s="130" t="n">
        <v>0</v>
      </c>
      <c r="G66" s="133" t="n">
        <v>0</v>
      </c>
      <c r="H66" s="129" t="n">
        <v>0</v>
      </c>
      <c r="I66" s="130" t="n">
        <v>0</v>
      </c>
      <c r="J66" s="130" t="n">
        <v>0</v>
      </c>
      <c r="K66" s="133" t="n">
        <v>0</v>
      </c>
      <c r="L66" s="216"/>
      <c r="M66" s="217"/>
      <c r="N66" s="217"/>
      <c r="O66" s="208"/>
      <c r="P66" s="218"/>
    </row>
    <row r="67" customFormat="false" ht="14.25" hidden="false" customHeight="false" outlineLevel="1" collapsed="false">
      <c r="A67" s="209" t="s">
        <v>291</v>
      </c>
      <c r="B67" s="183" t="str">
        <f aca="false">DEC2HEX(C67,2)</f>
        <v>01</v>
      </c>
      <c r="C67" s="210" t="n">
        <f aca="false">IF(D67=1,128,0)+IF(E67=1,64,0)+IF(F67=1,32,0)+IF(G67=1,16,0)+IF(H67=1,8,0)+IF(I67=1,4,0)+IF(J67=1,2,0)+IF(K67=1,1,0)</f>
        <v>1</v>
      </c>
      <c r="D67" s="211" t="n">
        <v>0</v>
      </c>
      <c r="E67" s="210" t="n">
        <v>0</v>
      </c>
      <c r="F67" s="175" t="n">
        <v>0</v>
      </c>
      <c r="G67" s="212" t="n">
        <v>0</v>
      </c>
      <c r="H67" s="211" t="n">
        <v>0</v>
      </c>
      <c r="I67" s="175" t="n">
        <v>0</v>
      </c>
      <c r="J67" s="210" t="n">
        <v>0</v>
      </c>
      <c r="K67" s="212" t="n">
        <v>1</v>
      </c>
      <c r="L67" s="219"/>
      <c r="M67" s="214"/>
      <c r="N67" s="214"/>
      <c r="O67" s="213"/>
      <c r="P67" s="215"/>
    </row>
    <row r="68" customFormat="false" ht="14.25" hidden="false" customHeight="false" outlineLevel="1" collapsed="false">
      <c r="A68" s="195" t="s">
        <v>292</v>
      </c>
      <c r="B68" s="20" t="str">
        <f aca="false">DEC2HEX(C68,2)</f>
        <v>41</v>
      </c>
      <c r="C68" s="2" t="n">
        <f aca="false">IF(D68=1,128,0)+IF(E68=1,64,0)+IF(F68=1,32,0)+IF(G68=1,16,0)+IF(H68=1,8,0)+IF(I68=1,4,0)+IF(J68=1,2,0)+IF(K68=1,1,0)</f>
        <v>65</v>
      </c>
      <c r="D68" s="200" t="n">
        <v>0</v>
      </c>
      <c r="E68" s="2" t="n">
        <v>1</v>
      </c>
      <c r="F68" s="2" t="n">
        <v>0</v>
      </c>
      <c r="G68" s="49" t="n">
        <v>0</v>
      </c>
      <c r="H68" s="48" t="n">
        <v>0</v>
      </c>
      <c r="I68" s="2" t="n">
        <v>0</v>
      </c>
      <c r="J68" s="2" t="n">
        <v>0</v>
      </c>
      <c r="K68" s="49" t="n">
        <v>1</v>
      </c>
      <c r="L68" s="220"/>
      <c r="P68" s="198"/>
    </row>
    <row r="69" customFormat="false" ht="14.25" hidden="false" customHeight="false" outlineLevel="1" collapsed="false">
      <c r="A69" s="195" t="s">
        <v>293</v>
      </c>
      <c r="B69" s="20" t="str">
        <f aca="false">DEC2HEX(C69,2)</f>
        <v>C1</v>
      </c>
      <c r="C69" s="2" t="n">
        <f aca="false">IF(D69=1,128,0)+IF(E69=1,64,0)+IF(F69=1,32,0)+IF(G69=1,16,0)+IF(H69=1,8,0)+IF(I69=1,4,0)+IF(J69=1,2,0)+IF(K69=1,1,0)</f>
        <v>193</v>
      </c>
      <c r="D69" s="200" t="n">
        <v>1</v>
      </c>
      <c r="E69" s="105" t="n">
        <v>1</v>
      </c>
      <c r="F69" s="105" t="n">
        <v>0</v>
      </c>
      <c r="G69" s="49" t="n">
        <v>0</v>
      </c>
      <c r="H69" s="48" t="n">
        <v>0</v>
      </c>
      <c r="I69" s="2" t="n">
        <v>0</v>
      </c>
      <c r="J69" s="2" t="n">
        <v>0</v>
      </c>
      <c r="K69" s="49" t="n">
        <v>1</v>
      </c>
      <c r="L69" s="220"/>
      <c r="M69" s="10"/>
      <c r="N69" s="10"/>
      <c r="O69" s="126"/>
      <c r="P69" s="198"/>
    </row>
    <row r="70" customFormat="false" ht="14.25" hidden="false" customHeight="false" outlineLevel="1" collapsed="false">
      <c r="A70" s="206" t="s">
        <v>294</v>
      </c>
      <c r="B70" s="207" t="str">
        <f aca="false">DEC2HEX(C70,2)</f>
        <v>03</v>
      </c>
      <c r="C70" s="130" t="n">
        <f aca="false">IF(D70=1,128,0)+IF(E70=1,64,0)+IF(F70=1,32,0)+IF(G70=1,16,0)+IF(H70=1,8,0)+IF(I70=1,4,0)+IF(J70=1,2,0)+IF(K70=1,1,0)</f>
        <v>3</v>
      </c>
      <c r="D70" s="129" t="n">
        <v>0</v>
      </c>
      <c r="E70" s="130" t="n">
        <v>0</v>
      </c>
      <c r="F70" s="130" t="n">
        <v>0</v>
      </c>
      <c r="G70" s="133" t="n">
        <v>0</v>
      </c>
      <c r="H70" s="129" t="n">
        <v>0</v>
      </c>
      <c r="I70" s="130" t="n">
        <v>0</v>
      </c>
      <c r="J70" s="130" t="n">
        <v>1</v>
      </c>
      <c r="K70" s="133" t="n">
        <v>1</v>
      </c>
      <c r="L70" s="208"/>
      <c r="M70" s="217"/>
      <c r="N70" s="217"/>
      <c r="O70" s="208"/>
      <c r="P70" s="218"/>
    </row>
    <row r="71" customFormat="false" ht="14.25" hidden="false" customHeight="false" outlineLevel="1" collapsed="false">
      <c r="A71" s="209" t="s">
        <v>295</v>
      </c>
      <c r="B71" s="183" t="str">
        <f aca="false">DEC2HEX(C71,2)</f>
        <v>04</v>
      </c>
      <c r="C71" s="210" t="n">
        <f aca="false">IF(D71=1,128,0)+IF(E71=1,64,0)+IF(F71=1,32,0)+IF(G71=1,16,0)+IF(H71=1,8,0)+IF(I71=1,4,0)+IF(J71=1,2,0)+IF(K71=1,1,0)</f>
        <v>4</v>
      </c>
      <c r="D71" s="211" t="n">
        <v>0</v>
      </c>
      <c r="E71" s="175" t="n">
        <v>0</v>
      </c>
      <c r="F71" s="175" t="n">
        <v>0</v>
      </c>
      <c r="G71" s="212" t="n">
        <v>0</v>
      </c>
      <c r="H71" s="211" t="n">
        <v>0</v>
      </c>
      <c r="I71" s="175" t="n">
        <v>1</v>
      </c>
      <c r="J71" s="175" t="n">
        <v>0</v>
      </c>
      <c r="K71" s="212" t="n">
        <v>0</v>
      </c>
      <c r="L71" s="213"/>
      <c r="M71" s="214"/>
      <c r="N71" s="214"/>
      <c r="O71" s="213"/>
      <c r="P71" s="215" t="s">
        <v>296</v>
      </c>
    </row>
    <row r="72" customFormat="false" ht="14.25" hidden="false" customHeight="false" outlineLevel="1" collapsed="false">
      <c r="A72" s="195" t="s">
        <v>297</v>
      </c>
      <c r="B72" s="20" t="str">
        <f aca="false">DEC2HEX(C72,2)</f>
        <v>14</v>
      </c>
      <c r="C72" s="2" t="n">
        <f aca="false">IF(D72=1,128,0)+IF(E72=1,64,0)+IF(F72=1,32,0)+IF(G72=1,16,0)+IF(H72=1,8,0)+IF(I72=1,4,0)+IF(J72=1,2,0)+IF(K72=1,1,0)</f>
        <v>20</v>
      </c>
      <c r="D72" s="48" t="n">
        <v>0</v>
      </c>
      <c r="E72" s="105" t="n">
        <v>0</v>
      </c>
      <c r="F72" s="105" t="n">
        <v>0</v>
      </c>
      <c r="G72" s="49" t="n">
        <v>1</v>
      </c>
      <c r="H72" s="48" t="n">
        <v>0</v>
      </c>
      <c r="I72" s="105" t="n">
        <v>1</v>
      </c>
      <c r="J72" s="105" t="n">
        <v>0</v>
      </c>
      <c r="K72" s="49" t="n">
        <v>0</v>
      </c>
      <c r="L72" s="126"/>
      <c r="M72" s="196"/>
      <c r="N72" s="196"/>
      <c r="O72" s="126"/>
      <c r="P72" s="198" t="s">
        <v>298</v>
      </c>
    </row>
    <row r="73" customFormat="false" ht="14.25" hidden="false" customHeight="false" outlineLevel="1" collapsed="false">
      <c r="A73" s="206" t="s">
        <v>299</v>
      </c>
      <c r="B73" s="207" t="str">
        <f aca="false">DEC2HEX(C73,2)</f>
        <v>54</v>
      </c>
      <c r="C73" s="130" t="n">
        <f aca="false">IF(D73=1,128,0)+IF(E73=1,64,0)+IF(F73=1,32,0)+IF(G73=1,16,0)+IF(H73=1,8,0)+IF(I73=1,4,0)+IF(J73=1,2,0)+IF(K73=1,1,0)</f>
        <v>84</v>
      </c>
      <c r="D73" s="129" t="n">
        <v>0</v>
      </c>
      <c r="E73" s="130" t="n">
        <v>1</v>
      </c>
      <c r="F73" s="130" t="n">
        <v>0</v>
      </c>
      <c r="G73" s="133" t="n">
        <v>1</v>
      </c>
      <c r="H73" s="129" t="n">
        <v>0</v>
      </c>
      <c r="I73" s="130" t="n">
        <v>1</v>
      </c>
      <c r="J73" s="130" t="n">
        <v>0</v>
      </c>
      <c r="K73" s="133" t="n">
        <v>0</v>
      </c>
      <c r="L73" s="208"/>
      <c r="M73" s="217"/>
      <c r="N73" s="217"/>
      <c r="O73" s="208"/>
      <c r="P73" s="218" t="s">
        <v>300</v>
      </c>
    </row>
    <row r="74" customFormat="false" ht="14.25" hidden="false" customHeight="false" outlineLevel="1" collapsed="false">
      <c r="A74" s="209" t="s">
        <v>301</v>
      </c>
      <c r="B74" s="183" t="str">
        <f aca="false">DEC2HEX(C74,2)</f>
        <v>05</v>
      </c>
      <c r="C74" s="210" t="n">
        <f aca="false">IF(D74=1,128,0)+IF(E74=1,64,0)+IF(F74=1,32,0)+IF(G74=1,16,0)+IF(H74=1,8,0)+IF(I74=1,4,0)+IF(J74=1,2,0)+IF(K74=1,1,0)</f>
        <v>5</v>
      </c>
      <c r="D74" s="211" t="n">
        <v>0</v>
      </c>
      <c r="E74" s="175" t="n">
        <v>0</v>
      </c>
      <c r="F74" s="175" t="n">
        <v>0</v>
      </c>
      <c r="G74" s="212" t="n">
        <v>0</v>
      </c>
      <c r="H74" s="211" t="n">
        <v>0</v>
      </c>
      <c r="I74" s="175" t="n">
        <v>1</v>
      </c>
      <c r="J74" s="175" t="n">
        <v>0</v>
      </c>
      <c r="K74" s="212" t="n">
        <v>1</v>
      </c>
      <c r="L74" s="213"/>
      <c r="M74" s="214"/>
      <c r="N74" s="214"/>
      <c r="O74" s="213"/>
      <c r="P74" s="215" t="s">
        <v>302</v>
      </c>
    </row>
    <row r="75" customFormat="false" ht="14.25" hidden="false" customHeight="false" outlineLevel="1" collapsed="false">
      <c r="A75" s="206" t="s">
        <v>303</v>
      </c>
      <c r="B75" s="207" t="str">
        <f aca="false">DEC2HEX(C75,2)</f>
        <v>15</v>
      </c>
      <c r="C75" s="130" t="n">
        <f aca="false">IF(D75=1,128,0)+IF(E75=1,64,0)+IF(F75=1,32,0)+IF(G75=1,16,0)+IF(H75=1,8,0)+IF(I75=1,4,0)+IF(J75=1,2,0)+IF(K75=1,1,0)</f>
        <v>21</v>
      </c>
      <c r="D75" s="129" t="n">
        <v>0</v>
      </c>
      <c r="E75" s="130" t="n">
        <v>0</v>
      </c>
      <c r="F75" s="130" t="n">
        <v>0</v>
      </c>
      <c r="G75" s="133" t="n">
        <v>1</v>
      </c>
      <c r="H75" s="129" t="n">
        <v>0</v>
      </c>
      <c r="I75" s="130" t="n">
        <v>1</v>
      </c>
      <c r="J75" s="130" t="n">
        <v>0</v>
      </c>
      <c r="K75" s="133" t="n">
        <v>1</v>
      </c>
      <c r="L75" s="208"/>
      <c r="M75" s="217"/>
      <c r="N75" s="217"/>
      <c r="O75" s="208"/>
      <c r="P75" s="218" t="s">
        <v>304</v>
      </c>
    </row>
    <row r="76" customFormat="false" ht="14.25" hidden="false" customHeight="false" outlineLevel="1" collapsed="false">
      <c r="A76" s="209" t="s">
        <v>305</v>
      </c>
      <c r="B76" s="183" t="str">
        <f aca="false">DEC2HEX(C76,2)</f>
        <v>46</v>
      </c>
      <c r="C76" s="210" t="n">
        <f aca="false">IF(D76=1,128,0)+IF(E76=1,64,0)+IF(F76=1,32,0)+IF(G76=1,16,0)+IF(H76=1,8,0)+IF(I76=1,4,0)+IF(J76=1,2,0)+IF(K76=1,1,0)</f>
        <v>70</v>
      </c>
      <c r="D76" s="211" t="n">
        <v>0</v>
      </c>
      <c r="E76" s="175" t="n">
        <v>1</v>
      </c>
      <c r="F76" s="175" t="n">
        <v>0</v>
      </c>
      <c r="G76" s="212" t="n">
        <v>0</v>
      </c>
      <c r="H76" s="211" t="n">
        <v>0</v>
      </c>
      <c r="I76" s="175" t="n">
        <v>1</v>
      </c>
      <c r="J76" s="175" t="n">
        <v>1</v>
      </c>
      <c r="K76" s="212" t="n">
        <v>0</v>
      </c>
      <c r="L76" s="213"/>
      <c r="M76" s="214"/>
      <c r="N76" s="214"/>
      <c r="O76" s="213"/>
      <c r="P76" s="215"/>
    </row>
    <row r="77" customFormat="false" ht="14.25" hidden="false" customHeight="false" outlineLevel="1" collapsed="false">
      <c r="A77" s="195" t="s">
        <v>306</v>
      </c>
      <c r="B77" s="16" t="str">
        <f aca="false">DEC2HEX(C77,2)</f>
        <v>56</v>
      </c>
      <c r="C77" s="105" t="n">
        <f aca="false">IF(D77=1,128,0)+IF(E77=1,64,0)+IF(F77=1,32,0)+IF(G77=1,16,0)+IF(H77=1,8,0)+IF(I77=1,4,0)+IF(J77=1,2,0)+IF(K77=1,1,0)</f>
        <v>86</v>
      </c>
      <c r="D77" s="48" t="n">
        <v>0</v>
      </c>
      <c r="E77" s="105" t="n">
        <v>1</v>
      </c>
      <c r="F77" s="105" t="n">
        <v>0</v>
      </c>
      <c r="G77" s="49" t="n">
        <v>1</v>
      </c>
      <c r="H77" s="48" t="n">
        <v>0</v>
      </c>
      <c r="I77" s="105" t="n">
        <v>1</v>
      </c>
      <c r="J77" s="105" t="n">
        <v>1</v>
      </c>
      <c r="K77" s="49" t="n">
        <v>0</v>
      </c>
      <c r="L77" s="126"/>
      <c r="M77" s="196"/>
      <c r="N77" s="196"/>
      <c r="O77" s="126"/>
      <c r="P77" s="198"/>
    </row>
    <row r="78" customFormat="false" ht="14.25" hidden="false" customHeight="false" outlineLevel="1" collapsed="false">
      <c r="A78" s="195" t="s">
        <v>307</v>
      </c>
      <c r="B78" s="16" t="str">
        <f aca="false">DEC2HEX(C78,2)</f>
        <v>C7</v>
      </c>
      <c r="C78" s="105" t="n">
        <f aca="false">IF(D78=1,128,0)+IF(E78=1,64,0)+IF(F78=1,32,0)+IF(G78=1,16,0)+IF(H78=1,8,0)+IF(I78=1,4,0)+IF(J78=1,2,0)+IF(K78=1,1,0)</f>
        <v>199</v>
      </c>
      <c r="D78" s="48" t="n">
        <v>1</v>
      </c>
      <c r="E78" s="105" t="n">
        <v>1</v>
      </c>
      <c r="F78" s="105" t="n">
        <v>0</v>
      </c>
      <c r="G78" s="49" t="n">
        <v>0</v>
      </c>
      <c r="H78" s="48" t="n">
        <v>0</v>
      </c>
      <c r="I78" s="105" t="n">
        <v>1</v>
      </c>
      <c r="J78" s="105" t="n">
        <v>1</v>
      </c>
      <c r="K78" s="49" t="n">
        <v>1</v>
      </c>
      <c r="L78" s="126"/>
      <c r="M78" s="196"/>
      <c r="N78" s="196"/>
      <c r="O78" s="126"/>
      <c r="P78" s="198"/>
    </row>
    <row r="79" customFormat="false" ht="14.25" hidden="false" customHeight="false" outlineLevel="1" collapsed="false">
      <c r="A79" s="206" t="s">
        <v>308</v>
      </c>
      <c r="B79" s="207" t="str">
        <f aca="false">DEC2HEX(C79,2)</f>
        <v>D7</v>
      </c>
      <c r="C79" s="130" t="n">
        <f aca="false">IF(D79=1,128,0)+IF(E79=1,64,0)+IF(F79=1,32,0)+IF(G79=1,16,0)+IF(H79=1,8,0)+IF(I79=1,4,0)+IF(J79=1,2,0)+IF(K79=1,1,0)</f>
        <v>215</v>
      </c>
      <c r="D79" s="129" t="n">
        <v>1</v>
      </c>
      <c r="E79" s="130" t="n">
        <v>1</v>
      </c>
      <c r="F79" s="130" t="n">
        <v>0</v>
      </c>
      <c r="G79" s="133" t="n">
        <v>1</v>
      </c>
      <c r="H79" s="129" t="n">
        <v>0</v>
      </c>
      <c r="I79" s="130" t="n">
        <v>1</v>
      </c>
      <c r="J79" s="130" t="n">
        <v>1</v>
      </c>
      <c r="K79" s="133" t="n">
        <v>1</v>
      </c>
      <c r="L79" s="208"/>
      <c r="M79" s="217"/>
      <c r="N79" s="217"/>
      <c r="O79" s="208"/>
      <c r="P79" s="218"/>
    </row>
    <row r="80" customFormat="false" ht="14.25" hidden="false" customHeight="false" outlineLevel="1" collapsed="false">
      <c r="A80" s="209" t="s">
        <v>309</v>
      </c>
      <c r="B80" s="183" t="str">
        <f aca="false">DEC2HEX(C80,2)</f>
        <v>0C</v>
      </c>
      <c r="C80" s="210" t="n">
        <f aca="false">IF(D80=1,128,0)+IF(E80=1,64,0)+IF(F80=1,32,0)+IF(G80=1,16,0)+IF(H80=1,8,0)+IF(I80=1,4,0)+IF(J80=1,2,0)+IF(K80=1,1,0)</f>
        <v>12</v>
      </c>
      <c r="D80" s="211" t="n">
        <v>0</v>
      </c>
      <c r="E80" s="175" t="n">
        <v>0</v>
      </c>
      <c r="F80" s="175" t="n">
        <v>0</v>
      </c>
      <c r="G80" s="212" t="n">
        <v>0</v>
      </c>
      <c r="H80" s="211" t="n">
        <v>1</v>
      </c>
      <c r="I80" s="175" t="n">
        <v>1</v>
      </c>
      <c r="J80" s="175" t="n">
        <v>0</v>
      </c>
      <c r="K80" s="212" t="n">
        <v>0</v>
      </c>
      <c r="L80" s="213"/>
      <c r="M80" s="214"/>
      <c r="N80" s="214"/>
      <c r="O80" s="213"/>
      <c r="P80" s="215"/>
    </row>
    <row r="81" customFormat="false" ht="14.25" hidden="false" customHeight="false" outlineLevel="1" collapsed="false">
      <c r="A81" s="206" t="s">
        <v>310</v>
      </c>
      <c r="B81" s="207" t="str">
        <f aca="false">DEC2HEX(C81,2)</f>
        <v>8C</v>
      </c>
      <c r="C81" s="130" t="n">
        <f aca="false">IF(D81=1,128,0)+IF(E81=1,64,0)+IF(F81=1,32,0)+IF(G81=1,16,0)+IF(H81=1,8,0)+IF(I81=1,4,0)+IF(J81=1,2,0)+IF(K81=1,1,0)</f>
        <v>140</v>
      </c>
      <c r="D81" s="129" t="n">
        <v>1</v>
      </c>
      <c r="E81" s="130" t="n">
        <v>0</v>
      </c>
      <c r="F81" s="130" t="n">
        <v>0</v>
      </c>
      <c r="G81" s="133" t="n">
        <v>0</v>
      </c>
      <c r="H81" s="129" t="n">
        <v>1</v>
      </c>
      <c r="I81" s="130" t="n">
        <v>1</v>
      </c>
      <c r="J81" s="130" t="n">
        <v>0</v>
      </c>
      <c r="K81" s="133" t="n">
        <v>0</v>
      </c>
      <c r="L81" s="208"/>
      <c r="M81" s="217"/>
      <c r="N81" s="217"/>
      <c r="O81" s="208"/>
      <c r="P81" s="218"/>
    </row>
    <row r="82" customFormat="false" ht="14.25" hidden="false" customHeight="false" outlineLevel="1" collapsed="false">
      <c r="A82" s="195"/>
      <c r="B82" s="16" t="str">
        <f aca="false">DEC2HEX(C82,2)</f>
        <v>00</v>
      </c>
      <c r="C82" s="105" t="n">
        <f aca="false">IF(D82=1,128,0)+IF(E82=1,64,0)+IF(F82=1,32,0)+IF(G82=1,16,0)+IF(H82=1,8,0)+IF(I82=1,4,0)+IF(J82=1,2,0)+IF(K82=1,1,0)</f>
        <v>0</v>
      </c>
      <c r="D82" s="48"/>
      <c r="E82" s="105"/>
      <c r="F82" s="105"/>
      <c r="G82" s="49"/>
      <c r="H82" s="48"/>
      <c r="I82" s="105"/>
      <c r="J82" s="105"/>
      <c r="K82" s="49"/>
      <c r="L82" s="126"/>
      <c r="M82" s="196"/>
      <c r="N82" s="196"/>
      <c r="O82" s="126"/>
      <c r="P82" s="198"/>
    </row>
    <row r="83" customFormat="false" ht="14.25" hidden="false" customHeight="false" outlineLevel="1" collapsed="false">
      <c r="A83" s="206"/>
      <c r="B83" s="207" t="str">
        <f aca="false">DEC2HEX(C83,2)</f>
        <v>00</v>
      </c>
      <c r="C83" s="130" t="n">
        <f aca="false">IF(D83=1,128,0)+IF(E83=1,64,0)+IF(F83=1,32,0)+IF(G83=1,16,0)+IF(H83=1,8,0)+IF(I83=1,4,0)+IF(J83=1,2,0)+IF(K83=1,1,0)</f>
        <v>0</v>
      </c>
      <c r="D83" s="129"/>
      <c r="E83" s="130"/>
      <c r="F83" s="130"/>
      <c r="G83" s="133"/>
      <c r="H83" s="129"/>
      <c r="I83" s="130"/>
      <c r="J83" s="130"/>
      <c r="K83" s="133"/>
      <c r="L83" s="208"/>
      <c r="M83" s="217"/>
      <c r="N83" s="217"/>
      <c r="O83" s="208"/>
      <c r="P83" s="218"/>
    </row>
    <row r="84" customFormat="false" ht="14.25" hidden="false" customHeight="false" outlineLevel="0" collapsed="false">
      <c r="L84" s="127"/>
    </row>
    <row r="85" customFormat="false" ht="14.25" hidden="false" customHeight="false" outlineLevel="0" collapsed="false">
      <c r="A85" s="6" t="s">
        <v>311</v>
      </c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3"/>
      <c r="O85" s="221"/>
      <c r="P85" s="3"/>
    </row>
    <row r="86" customFormat="false" ht="14.25" hidden="false" customHeight="false" outlineLevel="0" collapsed="false">
      <c r="A86" s="6" t="s">
        <v>312</v>
      </c>
    </row>
  </sheetData>
  <hyperlinks>
    <hyperlink ref="P12" r:id="rId1" location="Basic_and_interchange_formats" display="https://en.wikipedia.org/wiki/IEEE_754#Basic_and_interchange_formats"/>
    <hyperlink ref="P39" r:id="rId2" location="Durations" display="https://en.wikipedia.org/wiki/ISO_8601#Durations"/>
    <hyperlink ref="P40" r:id="rId3" location="time" display="http://www.w3.org/TR/xmlschema-2/#time"/>
    <hyperlink ref="P41" r:id="rId4" location="date" display="http://www.w3.org/TR/xmlschema-2/#date"/>
    <hyperlink ref="P42" r:id="rId5" location="dateTime" display="http://www.w3.org/TR/xmlschema-2/#dateTime"/>
    <hyperlink ref="P51" r:id="rId6" display="https://learn.microsoft.com/en-us/office/vba/language/reference/user-interface-help/currency-data-type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"/>
  <sheetViews>
    <sheetView showFormulas="false" showGridLines="true" showRowColHeaders="true" showZeros="true" rightToLeft="false" tabSelected="false" showOutlineSymbols="true" defaultGridColor="true" view="normal" topLeftCell="A1" colorId="64" zoomScale="106" zoomScaleNormal="106" zoomScalePageLayoutView="100" workbookViewId="0">
      <selection pane="topLeft" activeCell="A1" activeCellId="0" sqref="A1"/>
    </sheetView>
  </sheetViews>
  <sheetFormatPr defaultColWidth="9.00390625" defaultRowHeight="14.25" customHeight="true" zeroHeight="false" outlineLevelRow="0" outlineLevelCol="0"/>
  <cols>
    <col collapsed="false" customWidth="true" hidden="false" outlineLevel="0" max="6" min="1" style="1" width="11"/>
    <col collapsed="false" customWidth="true" hidden="false" outlineLevel="0" max="10" min="10" style="1" width="12.71"/>
  </cols>
  <sheetData>
    <row r="1" customFormat="false" ht="14.25" hidden="false" customHeight="false" outlineLevel="0" collapsed="false">
      <c r="A1" s="20" t="s">
        <v>220</v>
      </c>
      <c r="B1" s="20" t="s">
        <v>313</v>
      </c>
      <c r="C1" s="20" t="s">
        <v>50</v>
      </c>
      <c r="D1" s="20" t="s">
        <v>110</v>
      </c>
      <c r="E1" s="20" t="s">
        <v>112</v>
      </c>
      <c r="F1" s="20" t="s">
        <v>114</v>
      </c>
      <c r="G1" s="222" t="s">
        <v>314</v>
      </c>
      <c r="H1" s="222"/>
      <c r="I1" s="222"/>
      <c r="J1" s="222" t="s">
        <v>315</v>
      </c>
    </row>
    <row r="2" customFormat="false" ht="14.25" hidden="false" customHeight="false" outlineLevel="0" collapsed="false">
      <c r="A2" s="2" t="n">
        <v>0</v>
      </c>
      <c r="B2" s="2" t="n">
        <v>0</v>
      </c>
      <c r="C2" s="2" t="n">
        <v>0</v>
      </c>
      <c r="D2" s="2" t="s">
        <v>316</v>
      </c>
      <c r="E2" s="2" t="s">
        <v>317</v>
      </c>
      <c r="F2" s="2" t="s">
        <v>318</v>
      </c>
      <c r="G2" s="5" t="s">
        <v>114</v>
      </c>
      <c r="H2" s="5" t="s">
        <v>319</v>
      </c>
      <c r="I2" s="5"/>
      <c r="J2" s="5" t="s">
        <v>320</v>
      </c>
      <c r="K2" s="1" t="s">
        <v>321</v>
      </c>
    </row>
    <row r="3" customFormat="false" ht="14.25" hidden="false" customHeight="false" outlineLevel="0" collapsed="false">
      <c r="A3" s="2" t="n">
        <v>1</v>
      </c>
      <c r="B3" s="2" t="n">
        <v>0</v>
      </c>
      <c r="C3" s="2" t="n">
        <v>0</v>
      </c>
      <c r="D3" s="2" t="s">
        <v>316</v>
      </c>
      <c r="E3" s="2" t="s">
        <v>317</v>
      </c>
      <c r="F3" s="2" t="s">
        <v>322</v>
      </c>
      <c r="G3" s="5" t="s">
        <v>114</v>
      </c>
      <c r="H3" s="5" t="s">
        <v>105</v>
      </c>
      <c r="I3" s="5"/>
      <c r="J3" s="5" t="s">
        <v>320</v>
      </c>
      <c r="K3" s="1" t="s">
        <v>321</v>
      </c>
    </row>
    <row r="4" customFormat="false" ht="14.25" hidden="false" customHeight="false" outlineLevel="0" collapsed="false">
      <c r="A4" s="2" t="n">
        <v>0</v>
      </c>
      <c r="B4" s="2" t="n">
        <v>0</v>
      </c>
      <c r="C4" s="2" t="n">
        <v>1</v>
      </c>
      <c r="D4" s="2" t="n">
        <v>0</v>
      </c>
      <c r="E4" s="2" t="s">
        <v>323</v>
      </c>
      <c r="F4" s="2" t="s">
        <v>317</v>
      </c>
      <c r="G4" s="5" t="s">
        <v>324</v>
      </c>
      <c r="H4" s="5" t="s">
        <v>325</v>
      </c>
      <c r="I4" s="5" t="s">
        <v>326</v>
      </c>
      <c r="J4" s="1" t="s">
        <v>327</v>
      </c>
      <c r="K4" s="5" t="s">
        <v>328</v>
      </c>
    </row>
    <row r="5" customFormat="false" ht="14.25" hidden="false" customHeight="false" outlineLevel="0" collapsed="false">
      <c r="A5" s="2" t="n">
        <v>1</v>
      </c>
      <c r="B5" s="2" t="n">
        <v>0</v>
      </c>
      <c r="C5" s="2" t="n">
        <v>1</v>
      </c>
      <c r="D5" s="2" t="n">
        <v>0</v>
      </c>
      <c r="E5" s="2" t="s">
        <v>323</v>
      </c>
      <c r="F5" s="2" t="s">
        <v>317</v>
      </c>
      <c r="G5" s="5" t="s">
        <v>324</v>
      </c>
      <c r="H5" s="5" t="s">
        <v>325</v>
      </c>
      <c r="I5" s="5" t="s">
        <v>329</v>
      </c>
      <c r="J5" s="1" t="s">
        <v>327</v>
      </c>
      <c r="K5" s="5" t="s">
        <v>328</v>
      </c>
    </row>
    <row r="6" customFormat="false" ht="14.25" hidden="false" customHeight="false" outlineLevel="0" collapsed="false">
      <c r="A6" s="2" t="n">
        <v>0</v>
      </c>
      <c r="B6" s="2" t="n">
        <v>0</v>
      </c>
      <c r="C6" s="2" t="n">
        <v>1</v>
      </c>
      <c r="D6" s="2" t="s">
        <v>316</v>
      </c>
      <c r="E6" s="2" t="s">
        <v>323</v>
      </c>
      <c r="F6" s="2" t="s">
        <v>317</v>
      </c>
      <c r="G6" s="5" t="s">
        <v>324</v>
      </c>
      <c r="H6" s="5" t="s">
        <v>330</v>
      </c>
      <c r="I6" s="5" t="s">
        <v>326</v>
      </c>
      <c r="J6" s="1" t="s">
        <v>327</v>
      </c>
      <c r="K6" s="5" t="s">
        <v>328</v>
      </c>
    </row>
    <row r="7" customFormat="false" ht="14.25" hidden="false" customHeight="false" outlineLevel="0" collapsed="false">
      <c r="A7" s="2" t="n">
        <v>1</v>
      </c>
      <c r="B7" s="2" t="n">
        <v>0</v>
      </c>
      <c r="C7" s="2" t="n">
        <v>1</v>
      </c>
      <c r="D7" s="2" t="s">
        <v>316</v>
      </c>
      <c r="E7" s="2" t="s">
        <v>323</v>
      </c>
      <c r="F7" s="2" t="s">
        <v>317</v>
      </c>
      <c r="G7" s="5" t="s">
        <v>324</v>
      </c>
      <c r="H7" s="5" t="s">
        <v>330</v>
      </c>
      <c r="I7" s="5" t="s">
        <v>329</v>
      </c>
      <c r="J7" s="1" t="s">
        <v>327</v>
      </c>
      <c r="K7" s="5" t="s">
        <v>328</v>
      </c>
    </row>
    <row r="8" customFormat="false" ht="14.25" hidden="false" customHeight="false" outlineLevel="0" collapsed="false">
      <c r="A8" s="2" t="n">
        <v>0</v>
      </c>
      <c r="B8" s="2" t="n">
        <v>1</v>
      </c>
      <c r="C8" s="2" t="n">
        <v>0</v>
      </c>
      <c r="D8" s="2" t="s">
        <v>317</v>
      </c>
      <c r="E8" s="2" t="s">
        <v>323</v>
      </c>
      <c r="F8" s="2" t="s">
        <v>318</v>
      </c>
      <c r="G8" s="5" t="s">
        <v>114</v>
      </c>
      <c r="H8" s="5" t="s">
        <v>331</v>
      </c>
      <c r="I8" s="5"/>
      <c r="J8" s="1" t="s">
        <v>332</v>
      </c>
      <c r="K8" s="1" t="s">
        <v>333</v>
      </c>
    </row>
    <row r="9" customFormat="false" ht="14.25" hidden="false" customHeight="false" outlineLevel="0" collapsed="false">
      <c r="A9" s="2" t="n">
        <v>1</v>
      </c>
      <c r="B9" s="2" t="n">
        <v>1</v>
      </c>
      <c r="C9" s="2" t="n">
        <v>0</v>
      </c>
      <c r="D9" s="2" t="s">
        <v>317</v>
      </c>
      <c r="E9" s="2" t="s">
        <v>323</v>
      </c>
      <c r="F9" s="2" t="s">
        <v>318</v>
      </c>
      <c r="G9" s="5" t="s">
        <v>114</v>
      </c>
      <c r="H9" s="5" t="s">
        <v>107</v>
      </c>
      <c r="I9" s="5"/>
      <c r="J9" s="1" t="s">
        <v>332</v>
      </c>
      <c r="K9" s="1" t="s">
        <v>333</v>
      </c>
    </row>
    <row r="10" customFormat="false" ht="14.25" hidden="false" customHeight="false" outlineLevel="0" collapsed="false">
      <c r="A10" s="2" t="n">
        <v>0</v>
      </c>
      <c r="B10" s="2" t="n">
        <v>1</v>
      </c>
      <c r="C10" s="2" t="n">
        <v>1</v>
      </c>
      <c r="D10" s="2" t="s">
        <v>316</v>
      </c>
      <c r="E10" s="2" t="n">
        <v>0</v>
      </c>
      <c r="F10" s="2" t="s">
        <v>317</v>
      </c>
      <c r="G10" s="5" t="s">
        <v>324</v>
      </c>
      <c r="H10" s="5" t="s">
        <v>334</v>
      </c>
      <c r="I10" s="5" t="s">
        <v>326</v>
      </c>
      <c r="J10" s="1" t="s">
        <v>335</v>
      </c>
      <c r="K10" s="1" t="s">
        <v>336</v>
      </c>
    </row>
    <row r="11" customFormat="false" ht="14.25" hidden="false" customHeight="false" outlineLevel="0" collapsed="false">
      <c r="A11" s="2" t="n">
        <v>1</v>
      </c>
      <c r="B11" s="2" t="n">
        <v>1</v>
      </c>
      <c r="C11" s="2" t="n">
        <v>1</v>
      </c>
      <c r="D11" s="2" t="s">
        <v>316</v>
      </c>
      <c r="E11" s="2" t="n">
        <v>0</v>
      </c>
      <c r="F11" s="2" t="s">
        <v>317</v>
      </c>
      <c r="G11" s="5" t="s">
        <v>324</v>
      </c>
      <c r="H11" s="5" t="s">
        <v>334</v>
      </c>
      <c r="I11" s="5" t="s">
        <v>329</v>
      </c>
      <c r="J11" s="1" t="s">
        <v>335</v>
      </c>
      <c r="K11" s="1" t="s">
        <v>336</v>
      </c>
    </row>
    <row r="12" customFormat="false" ht="14.25" hidden="false" customHeight="false" outlineLevel="0" collapsed="false">
      <c r="A12" s="2" t="n">
        <v>0</v>
      </c>
      <c r="B12" s="2" t="n">
        <v>1</v>
      </c>
      <c r="C12" s="2" t="n">
        <v>1</v>
      </c>
      <c r="D12" s="2" t="s">
        <v>316</v>
      </c>
      <c r="E12" s="2" t="s">
        <v>323</v>
      </c>
      <c r="F12" s="2" t="s">
        <v>317</v>
      </c>
      <c r="G12" s="5" t="s">
        <v>324</v>
      </c>
      <c r="H12" s="5" t="s">
        <v>330</v>
      </c>
      <c r="I12" s="5" t="s">
        <v>326</v>
      </c>
      <c r="J12" s="1" t="s">
        <v>335</v>
      </c>
      <c r="K12" s="1" t="s">
        <v>336</v>
      </c>
    </row>
    <row r="13" customFormat="false" ht="14.25" hidden="false" customHeight="false" outlineLevel="0" collapsed="false">
      <c r="A13" s="2" t="n">
        <v>1</v>
      </c>
      <c r="B13" s="2" t="n">
        <v>1</v>
      </c>
      <c r="C13" s="2" t="n">
        <v>1</v>
      </c>
      <c r="D13" s="2" t="s">
        <v>316</v>
      </c>
      <c r="E13" s="2" t="s">
        <v>323</v>
      </c>
      <c r="F13" s="2" t="s">
        <v>317</v>
      </c>
      <c r="G13" s="5" t="s">
        <v>324</v>
      </c>
      <c r="H13" s="5" t="s">
        <v>330</v>
      </c>
      <c r="I13" s="5" t="s">
        <v>329</v>
      </c>
      <c r="J13" s="1" t="s">
        <v>335</v>
      </c>
      <c r="K13" s="1" t="s">
        <v>336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791</TotalTime>
  <Application>LibreOffice/25.8.5.2$Windows_X86_64 LibreOffice_project/9c8b85f387cc00a89945a79c9e6239f32e450ac2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:creator/>
  <dc:description/>
  <dc:language>en-AU</dc:language>
  <cp:lastModifiedBy/>
  <dcterms:modified xsi:type="dcterms:W3CDTF">2026-03-20T14:38:28Z</dcterms:modified>
  <cp:revision>51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AEA5A3A0D27F42AFBF98D19586720617_12</vt:lpwstr>
  </property>
  <property fmtid="{D5CDD505-2E9C-101B-9397-08002B2CF9AE}" pid="3" name="KSOProductBuildVer">
    <vt:lpwstr>1033-12.2.0.19805</vt:lpwstr>
  </property>
</Properties>
</file>