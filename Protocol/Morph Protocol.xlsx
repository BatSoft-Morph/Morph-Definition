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vmlDrawing1.vml" ContentType="application/vnd.openxmlformats-officedocument.vmlDrawing"/>
  <Override PartName="/xl/comments4.xml" ContentType="application/vnd.openxmlformats-officedocument.spreadsheetml.comment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onnection" sheetId="1" state="visible" r:id="rId3"/>
    <sheet name="LinkType" sheetId="2" state="visible" r:id="rId4"/>
    <sheet name="LinkType Data" sheetId="3" state="visible" r:id="rId5"/>
    <sheet name="ValueType" sheetId="4" state="visible" r:id="rId6"/>
    <sheet name="SimpleType" sheetId="5" state="visible" r:id="rId7"/>
    <sheet name="LinkSequenc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Author</author>
  </authors>
  <commentList>
    <comment ref="M34" authorId="0">
      <text>
        <r>
          <rPr>
            <sz val="10"/>
            <rFont val="Arial"/>
            <family val="2"/>
          </rPr>
          <t xml:space="preserve">Note:
</t>
        </r>
        <r>
          <rPr>
            <sz val="9"/>
            <rFont val="Tahoma"/>
            <family val="0"/>
            <charset val="134"/>
          </rPr>
          <t xml:space="preserve">If the servet represents an array, and we're specifying an element in that array, then this value specifies the array, and the following value represent the index.</t>
        </r>
      </text>
    </comment>
    <comment ref="N32" authorId="0">
      <text>
        <r>
          <rPr>
            <sz val="10"/>
            <rFont val="Arial"/>
            <family val="2"/>
          </rPr>
          <t xml:space="preserve">This consists if Morph links.</t>
        </r>
      </text>
    </comment>
    <comment ref="N33" authorId="0">
      <text>
        <r>
          <rPr>
            <sz val="10"/>
            <rFont val="Arial"/>
            <family val="2"/>
          </rPr>
          <t xml:space="preserve">This consists if Morph links.</t>
        </r>
      </text>
    </comment>
    <comment ref="N34" authorId="0">
      <text>
        <r>
          <rPr>
            <sz val="10"/>
            <rFont val="Arial"/>
            <family val="2"/>
          </rPr>
          <t xml:space="preserve">This consists of a value (starting with a ValueType).</t>
        </r>
      </text>
    </comment>
  </commentList>
</comments>
</file>

<file path=xl/sharedStrings.xml><?xml version="1.0" encoding="utf-8"?>
<sst xmlns="http://schemas.openxmlformats.org/spreadsheetml/2006/main" count="601" uniqueCount="344">
  <si>
    <t xml:space="preserve">Field</t>
  </si>
  <si>
    <t xml:space="preserve">Value</t>
  </si>
  <si>
    <t xml:space="preserve">Bytes</t>
  </si>
  <si>
    <t xml:space="preserve">Comment</t>
  </si>
  <si>
    <t xml:space="preserve">Protocol name</t>
  </si>
  <si>
    <t xml:space="preserve">"Morph"#0</t>
  </si>
  <si>
    <t xml:space="preserve">ASCII</t>
  </si>
  <si>
    <t xml:space="preserve">Version: Major</t>
  </si>
  <si>
    <t xml:space="preserve">Clearly incompatible versions must have different Major version numbers.</t>
  </si>
  <si>
    <t xml:space="preserve">Version: Minor</t>
  </si>
  <si>
    <t xml:space="preserve">Possibly compatible differences must have different Minor version numbers.</t>
  </si>
  <si>
    <t xml:space="preserve">This amounts to the following set of bytes:</t>
  </si>
  <si>
    <t xml:space="preserve">0x4D, 0x6F, 0x72, 0x70, 0x68, 0x00, 0x01, 0x01</t>
  </si>
  <si>
    <r>
      <rPr>
        <b val="true"/>
        <sz val="11"/>
        <color rgb="FF000000"/>
        <rFont val="Calibri"/>
        <family val="0"/>
        <charset val="1"/>
      </rPr>
      <t xml:space="preserve">Note:</t>
    </r>
    <r>
      <rPr>
        <sz val="11"/>
        <color rgb="FF000000"/>
        <rFont val="Calibri"/>
        <family val="0"/>
        <charset val="1"/>
      </rPr>
      <t xml:space="preserve"> Upon connection, this is sent as the first bytes, both ways, and must be validated on both sides </t>
    </r>
    <r>
      <rPr>
        <b val="true"/>
        <sz val="11"/>
        <color rgb="FF000000"/>
        <rFont val="Calibri"/>
        <family val="0"/>
        <charset val="1"/>
      </rPr>
      <t xml:space="preserve">before any</t>
    </r>
    <r>
      <rPr>
        <sz val="11"/>
        <color rgb="FF000000"/>
        <rFont val="Calibri"/>
        <family val="0"/>
        <charset val="1"/>
      </rPr>
      <t xml:space="preserve"> other incoming data is accepted.  If validation fails, then the connection is closed immediately.</t>
    </r>
  </si>
  <si>
    <t xml:space="preserve">Connection port (unecrypted)</t>
  </si>
  <si>
    <t xml:space="preserve">Decimal:</t>
  </si>
  <si>
    <t xml:space="preserve">Hexadecimal:</t>
  </si>
  <si>
    <t xml:space="preserve">$E000</t>
  </si>
  <si>
    <t xml:space="preserve">Connection port (encrypted)</t>
  </si>
  <si>
    <t xml:space="preserve">$E055</t>
  </si>
  <si>
    <t xml:space="preserve">Proper Morph implementations will use a daemon that listens for incoming connections on port $E000.</t>
  </si>
  <si>
    <t xml:space="preserve">A Morph daemon will relay all Morph packets, subject to system administrator permissions, such as enforcing the use of encryption and validation when deemed neccessary</t>
  </si>
  <si>
    <t xml:space="preserve">Using a Morph daemon should enable central control over permissions for Morph services on a device and possibly over a network.</t>
  </si>
  <si>
    <t xml:space="preserve">Non-standard implementations may listen on other ports or have only outgoing connections, though that is not considered "clean" and should be avoided.</t>
  </si>
  <si>
    <t xml:space="preserve">By not using a Morph daemon, messages miss out on the central management and security that a Morph daemon can provide.</t>
  </si>
  <si>
    <t xml:space="preserve">Expect both incoming and outgoing messages to be blocked by a firewall when not using a Morph daemon.</t>
  </si>
  <si>
    <t xml:space="preserve">String types:</t>
  </si>
  <si>
    <t xml:space="preserve">Identifier:</t>
  </si>
  <si>
    <t xml:space="preserve">2 bytes for string length (in bytes) followed by bytes for string encoded in UTF-8.</t>
  </si>
  <si>
    <t xml:space="preserve">String: </t>
  </si>
  <si>
    <t xml:space="preserve">4 bytes for string length (in bytes) followed by bytes for string encoded in UTF-8.</t>
  </si>
  <si>
    <t xml:space="preserve">LinkType</t>
  </si>
  <si>
    <t xml:space="preserve">Condition</t>
  </si>
  <si>
    <t xml:space="preserve">MSB</t>
  </si>
  <si>
    <t xml:space="preserve">Flags</t>
  </si>
  <si>
    <t xml:space="preserve">Link type</t>
  </si>
  <si>
    <t xml:space="preserve">Flag</t>
  </si>
  <si>
    <t xml:space="preserve">Size</t>
  </si>
  <si>
    <t xml:space="preserve">Links that follow (based on standard Morph topology)</t>
  </si>
  <si>
    <t xml:space="preserve">Design</t>
  </si>
  <si>
    <t xml:space="preserve">C#</t>
  </si>
  <si>
    <t xml:space="preserve">Dec</t>
  </si>
  <si>
    <t xml:space="preserve">Hex</t>
  </si>
  <si>
    <t xml:space="preserve">Min</t>
  </si>
  <si>
    <t xml:space="preserve">Max</t>
  </si>
  <si>
    <t xml:space="preserve">End</t>
  </si>
  <si>
    <t xml:space="preserve">None</t>
  </si>
  <si>
    <t xml:space="preserve">Message</t>
  </si>
  <si>
    <t xml:space="preserve">m</t>
  </si>
  <si>
    <t xml:space="preserve">Any except Message</t>
  </si>
  <si>
    <t xml:space="preserve">x</t>
  </si>
  <si>
    <t xml:space="preserve">HasCallNumber</t>
  </si>
  <si>
    <t xml:space="preserve">CallNumber</t>
  </si>
  <si>
    <t xml:space="preserve">IsForceful</t>
  </si>
  <si>
    <t xml:space="preserve">ToPathSize</t>
  </si>
  <si>
    <t xml:space="preserve">HasFromPath</t>
  </si>
  <si>
    <t xml:space="preserve">FromPathSize</t>
  </si>
  <si>
    <t xml:space="preserve">ToPath</t>
  </si>
  <si>
    <t xml:space="preserve">HasPathFrom</t>
  </si>
  <si>
    <t xml:space="preserve">FromPath</t>
  </si>
  <si>
    <t xml:space="preserve">Data</t>
  </si>
  <si>
    <t xml:space="preserve">9 + 2 GB</t>
  </si>
  <si>
    <t xml:space="preserve">IsException</t>
  </si>
  <si>
    <t xml:space="preserve">ErrorCode</t>
  </si>
  <si>
    <t xml:space="preserve">DataSize</t>
  </si>
  <si>
    <t xml:space="preserve">Byte count</t>
  </si>
  <si>
    <t xml:space="preserve">2 GB</t>
  </si>
  <si>
    <t xml:space="preserve">Information</t>
  </si>
  <si>
    <t xml:space="preserve">?</t>
  </si>
  <si>
    <t xml:space="preserve">Service</t>
  </si>
  <si>
    <t xml:space="preserve">1 + str</t>
  </si>
  <si>
    <t xml:space="preserve">IsService</t>
  </si>
  <si>
    <t xml:space="preserve">str</t>
  </si>
  <si>
    <t xml:space="preserve">ServiceName</t>
  </si>
  <si>
    <t xml:space="preserve">Information, Servlet, Method, Property</t>
  </si>
  <si>
    <t xml:space="preserve">IsApartment</t>
  </si>
  <si>
    <t xml:space="preserve">ApartmentID</t>
  </si>
  <si>
    <t xml:space="preserve">IsApartmentNotShared</t>
  </si>
  <si>
    <t xml:space="preserve">SessionID+P60</t>
  </si>
  <si>
    <t xml:space="preserve">IsApartmentProxy</t>
  </si>
  <si>
    <t xml:space="preserve">ApartmentProxyID</t>
  </si>
  <si>
    <t xml:space="preserve">Servlet</t>
  </si>
  <si>
    <t xml:space="preserve">Information, Member</t>
  </si>
  <si>
    <t xml:space="preserve">ServletID</t>
  </si>
  <si>
    <t xml:space="preserve">Member</t>
  </si>
  <si>
    <t xml:space="preserve">Information, Data</t>
  </si>
  <si>
    <t xml:space="preserve">Name</t>
  </si>
  <si>
    <t xml:space="preserve">IsMethod/IsProperty</t>
  </si>
  <si>
    <t xml:space="preserve">IsProperty</t>
  </si>
  <si>
    <t xml:space="preserve">IsGet/IsSet</t>
  </si>
  <si>
    <t xml:space="preserve">HasIndex</t>
  </si>
  <si>
    <t xml:space="preserve">Process</t>
  </si>
  <si>
    <t xml:space="preserve">Information, Service, Internet</t>
  </si>
  <si>
    <t xml:space="preserve">ProcessID</t>
  </si>
  <si>
    <t xml:space="preserve">Internet</t>
  </si>
  <si>
    <t xml:space="preserve">3 + str</t>
  </si>
  <si>
    <t xml:space="preserve">IPv4/IPv6</t>
  </si>
  <si>
    <t xml:space="preserve">IsString</t>
  </si>
  <si>
    <t xml:space="preserve">HostURI</t>
  </si>
  <si>
    <t xml:space="preserve">IPv4 and not IsString</t>
  </si>
  <si>
    <t xml:space="preserve">HostIPv4</t>
  </si>
  <si>
    <t xml:space="preserve">IPv6 and not IsString</t>
  </si>
  <si>
    <t xml:space="preserve">HostIPv6</t>
  </si>
  <si>
    <t xml:space="preserve">HasPort</t>
  </si>
  <si>
    <t xml:space="preserve">Port</t>
  </si>
  <si>
    <t xml:space="preserve">Sequence</t>
  </si>
  <si>
    <t xml:space="preserve">IsStart</t>
  </si>
  <si>
    <t xml:space="preserve">ToSender</t>
  </si>
  <si>
    <t xml:space="preserve">not IsStart or not ToSender</t>
  </si>
  <si>
    <t xml:space="preserve">IsLast</t>
  </si>
  <si>
    <t xml:space="preserve">not IsStart or ToSender</t>
  </si>
  <si>
    <t xml:space="preserve">Resend</t>
  </si>
  <si>
    <t xml:space="preserve">IsLossless</t>
  </si>
  <si>
    <t xml:space="preserve">IsStart or not ToSender</t>
  </si>
  <si>
    <t xml:space="preserve">SequenceID</t>
  </si>
  <si>
    <t xml:space="preserve">IsStart or ToSender</t>
  </si>
  <si>
    <t xml:space="preserve">SenderID</t>
  </si>
  <si>
    <t xml:space="preserve">not IsStart</t>
  </si>
  <si>
    <t xml:space="preserve">Index</t>
  </si>
  <si>
    <t xml:space="preserve">Encoding</t>
  </si>
  <si>
    <t xml:space="preserve">Stop/Start</t>
  </si>
  <si>
    <t xml:space="preserve">Key/Data</t>
  </si>
  <si>
    <t xml:space="preserve">Request key/Supply key</t>
  </si>
  <si>
    <t xml:space="preserve">Key type</t>
  </si>
  <si>
    <t xml:space="preserve">Stream</t>
  </si>
  <si>
    <t xml:space="preserve">Handle</t>
  </si>
  <si>
    <t xml:space="preserve">Request/Supply</t>
  </si>
  <si>
    <t xml:space="preserve">Implementation</t>
  </si>
  <si>
    <t xml:space="preserve">Concept</t>
  </si>
  <si>
    <t xml:space="preserve">Not started</t>
  </si>
  <si>
    <t xml:space="preserve">Partial</t>
  </si>
  <si>
    <t xml:space="preserve">Stub</t>
  </si>
  <si>
    <t xml:space="preserve">Beta</t>
  </si>
  <si>
    <t xml:space="preserve">Partly implemented</t>
  </si>
  <si>
    <t xml:space="preserve">Complete</t>
  </si>
  <si>
    <r>
      <rPr>
        <sz val="11"/>
        <color rgb="FF000000"/>
        <rFont val="Calibri"/>
        <family val="0"/>
        <charset val="1"/>
      </rPr>
      <t xml:space="preserve">This page describes the structure of the </t>
    </r>
    <r>
      <rPr>
        <b val="true"/>
        <sz val="11"/>
        <color rgb="FF000000"/>
        <rFont val="Calibri"/>
        <family val="0"/>
        <charset val="1"/>
      </rPr>
      <t xml:space="preserve">Data</t>
    </r>
    <r>
      <rPr>
        <sz val="11"/>
        <color rgb="FF000000"/>
        <rFont val="Calibri"/>
        <family val="0"/>
        <charset val="1"/>
      </rPr>
      <t xml:space="preserve"> in a </t>
    </r>
    <r>
      <rPr>
        <b val="true"/>
        <sz val="11"/>
        <color rgb="FF000000"/>
        <rFont val="Calibri"/>
        <family val="0"/>
        <charset val="1"/>
      </rPr>
      <t xml:space="preserve">LinkType: Data</t>
    </r>
    <r>
      <rPr>
        <sz val="11"/>
        <color rgb="FF000000"/>
        <rFont val="Calibri"/>
        <family val="0"/>
        <charset val="1"/>
      </rPr>
      <t xml:space="preserve"> link within the context of </t>
    </r>
    <r>
      <rPr>
        <b val="true"/>
        <sz val="11"/>
        <color rgb="FF000000"/>
        <rFont val="Calibri"/>
        <family val="0"/>
        <charset val="1"/>
      </rPr>
      <t xml:space="preserve">LinkType: Member</t>
    </r>
    <r>
      <rPr>
        <sz val="11"/>
        <color rgb="FF000000"/>
        <rFont val="Calibri"/>
        <family val="0"/>
        <charset val="1"/>
      </rPr>
      <t xml:space="preserve">.</t>
    </r>
  </si>
  <si>
    <r>
      <rPr>
        <sz val="11"/>
        <color rgb="FF000000"/>
        <rFont val="Symbol"/>
        <family val="0"/>
        <charset val="2"/>
      </rPr>
      <t xml:space="preserve">·</t>
    </r>
    <r>
      <rPr>
        <sz val="7"/>
        <color rgb="FF000000"/>
        <rFont val="Times New Roman"/>
        <family val="0"/>
        <charset val="1"/>
      </rPr>
      <t xml:space="preserve">         </t>
    </r>
    <r>
      <rPr>
        <b val="true"/>
        <sz val="11"/>
        <color rgb="FF000000"/>
        <rFont val="Calibri"/>
        <family val="0"/>
        <charset val="1"/>
      </rPr>
      <t xml:space="preserve">ParamCount </t>
    </r>
    <r>
      <rPr>
        <sz val="11"/>
        <color rgb="FF000000"/>
        <rFont val="Calibri"/>
        <family val="0"/>
        <charset val="1"/>
      </rPr>
      <t xml:space="preserve">- An integer that specifies how many parameters are contained in this Data link.</t>
    </r>
  </si>
  <si>
    <r>
      <rPr>
        <sz val="11"/>
        <color rgb="FF000000"/>
        <rFont val="Symbol"/>
        <family val="0"/>
        <charset val="2"/>
      </rPr>
      <t xml:space="preserve">·</t>
    </r>
    <r>
      <rPr>
        <sz val="7"/>
        <color rgb="FF000000"/>
        <rFont val="Times New Roman"/>
        <family val="0"/>
        <charset val="1"/>
      </rPr>
      <t xml:space="preserve">         </t>
    </r>
    <r>
      <rPr>
        <sz val="11"/>
        <color rgb="FF000000"/>
        <rFont val="Calibri"/>
        <family val="0"/>
        <charset val="1"/>
      </rPr>
      <t xml:space="preserve">This </t>
    </r>
    <r>
      <rPr>
        <i val="true"/>
        <sz val="11"/>
        <color rgb="FF000000"/>
        <rFont val="Calibri"/>
        <family val="0"/>
        <charset val="1"/>
      </rPr>
      <t xml:space="preserve">does</t>
    </r>
    <r>
      <rPr>
        <sz val="11"/>
        <color rgb="FF000000"/>
        <rFont val="Calibri"/>
        <family val="0"/>
        <charset val="1"/>
      </rPr>
      <t xml:space="preserve"> include the Special (when there is a Special).</t>
    </r>
  </si>
  <si>
    <r>
      <rPr>
        <sz val="11"/>
        <color rgb="FF000000"/>
        <rFont val="Symbol"/>
        <family val="0"/>
        <charset val="2"/>
      </rPr>
      <t xml:space="preserve">·</t>
    </r>
    <r>
      <rPr>
        <sz val="7"/>
        <color rgb="FF000000"/>
        <rFont val="Times New Roman"/>
        <family val="0"/>
        <charset val="1"/>
      </rPr>
      <t xml:space="preserve">         </t>
    </r>
    <r>
      <rPr>
        <b val="true"/>
        <sz val="11"/>
        <color rgb="FF000000"/>
        <rFont val="Calibri"/>
        <family val="0"/>
        <charset val="1"/>
      </rPr>
      <t xml:space="preserve">Parameters</t>
    </r>
    <r>
      <rPr>
        <sz val="11"/>
        <color rgb="FF000000"/>
        <rFont val="Calibri"/>
        <family val="0"/>
        <charset val="1"/>
      </rPr>
      <t xml:space="preserve"> - These should be used for:</t>
    </r>
  </si>
  <si>
    <r>
      <rPr>
        <sz val="11"/>
        <color rgb="FF000000"/>
        <rFont val="Symbol"/>
        <family val="0"/>
        <charset val="2"/>
      </rPr>
      <t xml:space="preserve">·</t>
    </r>
    <r>
      <rPr>
        <sz val="7"/>
        <color rgb="FF000000"/>
        <rFont val="Times New Roman"/>
        <family val="0"/>
        <charset val="1"/>
      </rPr>
      <t xml:space="preserve">         </t>
    </r>
    <r>
      <rPr>
        <sz val="11"/>
        <color rgb="FF000000"/>
        <rFont val="Calibri"/>
        <family val="0"/>
        <charset val="1"/>
      </rPr>
      <t xml:space="preserve">Input parameters in a method invocation.</t>
    </r>
  </si>
  <si>
    <r>
      <rPr>
        <sz val="11"/>
        <color rgb="FF000000"/>
        <rFont val="Symbol"/>
        <family val="0"/>
        <charset val="2"/>
      </rPr>
      <t xml:space="preserve">·</t>
    </r>
    <r>
      <rPr>
        <sz val="7"/>
        <color rgb="FF000000"/>
        <rFont val="Times New Roman"/>
        <family val="0"/>
        <charset val="1"/>
      </rPr>
      <t xml:space="preserve">         </t>
    </r>
    <r>
      <rPr>
        <sz val="11"/>
        <color rgb="FF000000"/>
        <rFont val="Calibri"/>
        <family val="0"/>
        <charset val="1"/>
      </rPr>
      <t xml:space="preserve">Output parameters in a method response.</t>
    </r>
  </si>
  <si>
    <r>
      <rPr>
        <sz val="11"/>
        <color rgb="FF000000"/>
        <rFont val="Symbol"/>
        <family val="0"/>
        <charset val="2"/>
      </rPr>
      <t xml:space="preserve">·</t>
    </r>
    <r>
      <rPr>
        <sz val="7"/>
        <color rgb="FF000000"/>
        <rFont val="Times New Roman"/>
        <family val="0"/>
        <charset val="1"/>
      </rPr>
      <t xml:space="preserve">         </t>
    </r>
    <r>
      <rPr>
        <sz val="11"/>
        <color rgb="FF000000"/>
        <rFont val="Calibri"/>
        <family val="0"/>
        <charset val="1"/>
      </rPr>
      <t xml:space="preserve">Property parameters when accessing an array property.</t>
    </r>
  </si>
  <si>
    <r>
      <rPr>
        <sz val="11"/>
        <color rgb="FF000000"/>
        <rFont val="Symbol"/>
        <family val="0"/>
        <charset val="2"/>
      </rPr>
      <t xml:space="preserve">·</t>
    </r>
    <r>
      <rPr>
        <sz val="7"/>
        <color rgb="FF000000"/>
        <rFont val="Times New Roman"/>
        <family val="0"/>
        <charset val="1"/>
      </rPr>
      <t xml:space="preserve">         </t>
    </r>
    <r>
      <rPr>
        <b val="true"/>
        <sz val="11"/>
        <color rgb="FF000000"/>
        <rFont val="Calibri"/>
        <family val="0"/>
        <charset val="1"/>
      </rPr>
      <t xml:space="preserve">Special </t>
    </r>
    <r>
      <rPr>
        <sz val="11"/>
        <color rgb="FF000000"/>
        <rFont val="Calibri"/>
        <family val="0"/>
        <charset val="1"/>
      </rPr>
      <t xml:space="preserve">- This is an additional parameter that should be used for:</t>
    </r>
  </si>
  <si>
    <r>
      <rPr>
        <sz val="11"/>
        <color rgb="FF000000"/>
        <rFont val="Symbol"/>
        <family val="0"/>
        <charset val="2"/>
      </rPr>
      <t xml:space="preserve">·</t>
    </r>
    <r>
      <rPr>
        <sz val="7"/>
        <color rgb="FF000000"/>
        <rFont val="Times New Roman"/>
        <family val="0"/>
        <charset val="1"/>
      </rPr>
      <t xml:space="preserve">         </t>
    </r>
    <r>
      <rPr>
        <sz val="11"/>
        <color rgb="FF000000"/>
        <rFont val="Calibri"/>
        <family val="0"/>
        <charset val="1"/>
      </rPr>
      <t xml:space="preserve">Exception information. (ex. exception message, stack trace...)</t>
    </r>
  </si>
  <si>
    <r>
      <rPr>
        <sz val="11"/>
        <color rgb="FF000000"/>
        <rFont val="Symbol"/>
        <family val="0"/>
        <charset val="2"/>
      </rPr>
      <t xml:space="preserve">·</t>
    </r>
    <r>
      <rPr>
        <sz val="7"/>
        <color rgb="FF000000"/>
        <rFont val="Times New Roman"/>
        <family val="0"/>
        <charset val="1"/>
      </rPr>
      <t xml:space="preserve">         </t>
    </r>
    <r>
      <rPr>
        <sz val="11"/>
        <color rgb="FF000000"/>
        <rFont val="Calibri"/>
        <family val="0"/>
        <charset val="1"/>
      </rPr>
      <t xml:space="preserve">Return value of a method invocation.</t>
    </r>
  </si>
  <si>
    <r>
      <rPr>
        <sz val="11"/>
        <color rgb="FF000000"/>
        <rFont val="Symbol"/>
        <family val="0"/>
        <charset val="2"/>
      </rPr>
      <t xml:space="preserve">·</t>
    </r>
    <r>
      <rPr>
        <sz val="7"/>
        <color rgb="FF000000"/>
        <rFont val="Times New Roman"/>
        <family val="0"/>
        <charset val="2"/>
      </rPr>
      <t xml:space="preserve">         </t>
    </r>
    <r>
      <rPr>
        <sz val="11"/>
        <color rgb="FF000000"/>
        <rFont val="Calibri"/>
        <family val="0"/>
        <charset val="2"/>
      </rPr>
      <t xml:space="preserve">Property value when getting or setting a property.</t>
    </r>
  </si>
  <si>
    <t xml:space="preserve">Note that a parameter/special can have a value of null, which is not the same as the value not existing.</t>
  </si>
  <si>
    <t xml:space="preserve">There is no difference in encoding between Parameters and a Special Value.</t>
  </si>
  <si>
    <t xml:space="preserve">The Special value must always be last parameter (when there is one).</t>
  </si>
  <si>
    <t xml:space="preserve">Thus, the Special (if there is one) is always the last parameter in the parameter list.</t>
  </si>
  <si>
    <r>
      <rPr>
        <sz val="11"/>
        <color theme="1"/>
        <rFont val="Calibri"/>
        <family val="0"/>
        <charset val="1"/>
      </rPr>
      <t xml:space="preserve">The </t>
    </r>
    <r>
      <rPr>
        <i val="true"/>
        <sz val="11"/>
        <color theme="1"/>
        <rFont val="Calibri"/>
        <family val="0"/>
        <charset val="1"/>
      </rPr>
      <t xml:space="preserve">Data</t>
    </r>
    <r>
      <rPr>
        <sz val="11"/>
        <color theme="1"/>
        <rFont val="Calibri"/>
        <family val="0"/>
        <charset val="1"/>
      </rPr>
      <t xml:space="preserve"> part of a </t>
    </r>
    <r>
      <rPr>
        <b val="true"/>
        <sz val="11"/>
        <color theme="1"/>
        <rFont val="Calibri"/>
        <family val="0"/>
        <charset val="1"/>
      </rPr>
      <t xml:space="preserve">LinkType: Data</t>
    </r>
    <r>
      <rPr>
        <sz val="11"/>
        <color theme="1"/>
        <rFont val="Calibri"/>
        <family val="0"/>
        <charset val="1"/>
      </rPr>
      <t xml:space="preserve"> begins with </t>
    </r>
    <r>
      <rPr>
        <b val="true"/>
        <sz val="11"/>
        <color theme="1"/>
        <rFont val="Calibri"/>
        <family val="0"/>
        <charset val="1"/>
      </rPr>
      <t xml:space="preserve">ParamCount</t>
    </r>
    <r>
      <rPr>
        <sz val="11"/>
        <color theme="1"/>
        <rFont val="Calibri"/>
        <family val="0"/>
        <charset val="1"/>
      </rPr>
      <t xml:space="preserve"> (4 bytes) that specifies the total number of parameters, followed by the parameters.</t>
    </r>
  </si>
  <si>
    <r>
      <rPr>
        <sz val="11"/>
        <color theme="1"/>
        <rFont val="Calibri"/>
        <family val="0"/>
        <charset val="1"/>
      </rPr>
      <t xml:space="preserve">Thus, a </t>
    </r>
    <r>
      <rPr>
        <b val="true"/>
        <sz val="11"/>
        <color theme="1"/>
        <rFont val="Calibri"/>
        <family val="0"/>
        <charset val="1"/>
      </rPr>
      <t xml:space="preserve">LinkType: Data</t>
    </r>
    <r>
      <rPr>
        <sz val="11"/>
        <color theme="1"/>
        <rFont val="Calibri"/>
        <family val="0"/>
        <charset val="1"/>
      </rPr>
      <t xml:space="preserve"> </t>
    </r>
    <r>
      <rPr>
        <i val="true"/>
        <sz val="11"/>
        <color theme="1"/>
        <rFont val="Calibri"/>
        <family val="0"/>
        <charset val="1"/>
      </rPr>
      <t xml:space="preserve">link</t>
    </r>
    <r>
      <rPr>
        <sz val="11"/>
        <color theme="1"/>
        <rFont val="Calibri"/>
        <family val="0"/>
        <charset val="1"/>
      </rPr>
      <t xml:space="preserve"> contains: </t>
    </r>
    <r>
      <rPr>
        <b val="true"/>
        <sz val="11"/>
        <color theme="1"/>
        <rFont val="Calibri"/>
        <family val="0"/>
        <charset val="1"/>
      </rPr>
      <t xml:space="preserve">DataSize</t>
    </r>
    <r>
      <rPr>
        <sz val="11"/>
        <color theme="1"/>
        <rFont val="Calibri"/>
        <family val="0"/>
        <charset val="1"/>
      </rPr>
      <t xml:space="preserve"> (4 bytes) + </t>
    </r>
    <r>
      <rPr>
        <b val="true"/>
        <sz val="11"/>
        <color theme="1"/>
        <rFont val="Calibri"/>
        <family val="0"/>
        <charset val="1"/>
      </rPr>
      <t xml:space="preserve">ParamCount</t>
    </r>
    <r>
      <rPr>
        <sz val="11"/>
        <color theme="1"/>
        <rFont val="Calibri"/>
        <family val="0"/>
        <charset val="1"/>
      </rPr>
      <t xml:space="preserve"> (4 bytes) + the </t>
    </r>
    <r>
      <rPr>
        <b val="true"/>
        <sz val="11"/>
        <color theme="1"/>
        <rFont val="Calibri"/>
        <family val="0"/>
        <charset val="1"/>
      </rPr>
      <t xml:space="preserve">parameters</t>
    </r>
    <r>
      <rPr>
        <sz val="11"/>
        <color theme="1"/>
        <rFont val="Calibri"/>
        <family val="0"/>
        <charset val="1"/>
      </rPr>
      <t xml:space="preserve"> (? bytes)</t>
    </r>
  </si>
  <si>
    <r>
      <rPr>
        <sz val="11"/>
        <color theme="1"/>
        <rFont val="Calibri"/>
        <family val="0"/>
        <charset val="1"/>
      </rPr>
      <t xml:space="preserve">If the parameter count is 0 (ie. no parameters and no special) then the </t>
    </r>
    <r>
      <rPr>
        <b val="true"/>
        <sz val="11"/>
        <color theme="1"/>
        <rFont val="Calibri"/>
        <family val="0"/>
        <charset val="1"/>
      </rPr>
      <t xml:space="preserve">LinkType: Data</t>
    </r>
    <r>
      <rPr>
        <sz val="11"/>
        <color theme="1"/>
        <rFont val="Calibri"/>
        <family val="0"/>
        <charset val="1"/>
      </rPr>
      <t xml:space="preserve"> can be omitted entirely.</t>
    </r>
  </si>
  <si>
    <t xml:space="preserve">Size (bytes)</t>
  </si>
  <si>
    <t xml:space="preserve">Type</t>
  </si>
  <si>
    <t xml:space="preserve">Comments</t>
  </si>
  <si>
    <t xml:space="preserve">HasTypeName</t>
  </si>
  <si>
    <t xml:space="preserve">TypeName</t>
  </si>
  <si>
    <t xml:space="preserve">+</t>
  </si>
  <si>
    <t xml:space="preserve">String</t>
  </si>
  <si>
    <t xml:space="preserve">HasValueName</t>
  </si>
  <si>
    <t xml:space="preserve">ValueName</t>
  </si>
  <si>
    <t xml:space="preserve">IsValue/IsReference</t>
  </si>
  <si>
    <t xml:space="preserve">ReferenceID</t>
  </si>
  <si>
    <t xml:space="preserve">int</t>
  </si>
  <si>
    <t xml:space="preserve">IsReference</t>
  </si>
  <si>
    <t xml:space="preserve">IsNull</t>
  </si>
  <si>
    <t xml:space="preserve">IsValue</t>
  </si>
  <si>
    <t xml:space="preserve">IsSimpleType</t>
  </si>
  <si>
    <t xml:space="preserve">IsArray</t>
  </si>
  <si>
    <t xml:space="preserve">IsStruct</t>
  </si>
  <si>
    <t xml:space="preserve">IsCustomType</t>
  </si>
  <si>
    <t xml:space="preserve">Simple</t>
  </si>
  <si>
    <t xml:space="preserve">IsValue and IsSimpleType</t>
  </si>
  <si>
    <t xml:space="preserve">SimpleType</t>
  </si>
  <si>
    <t xml:space="preserve">See SimpleType tab.</t>
  </si>
  <si>
    <t xml:space="preserve">Array</t>
  </si>
  <si>
    <t xml:space="preserve">IsValue and IsArray</t>
  </si>
  <si>
    <t xml:space="preserve">IsArrayElemType</t>
  </si>
  <si>
    <t xml:space="preserve">ArrayElemType</t>
  </si>
  <si>
    <t xml:space="preserve">1..2</t>
  </si>
  <si>
    <t xml:space="preserve">ValueType (+SimpleType)</t>
  </si>
  <si>
    <t xml:space="preserve">Specifies the type of all elements in the array.</t>
  </si>
  <si>
    <t xml:space="preserve">ArrayElemCount</t>
  </si>
  <si>
    <r>
      <rPr>
        <sz val="11"/>
        <color theme="1"/>
        <rFont val="Calibri"/>
        <family val="0"/>
        <charset val="134"/>
      </rPr>
      <t xml:space="preserve">Number of </t>
    </r>
    <r>
      <rPr>
        <b val="true"/>
        <sz val="11"/>
        <color theme="1"/>
        <rFont val="Calibri"/>
        <family val="0"/>
        <charset val="134"/>
      </rPr>
      <t xml:space="preserve">elements</t>
    </r>
    <r>
      <rPr>
        <sz val="11"/>
        <color theme="1"/>
        <rFont val="Calibri"/>
        <family val="0"/>
        <charset val="134"/>
      </rPr>
      <t xml:space="preserve"> in the array, not number of bytes that make up the data.</t>
    </r>
  </si>
  <si>
    <t xml:space="preserve">Values</t>
  </si>
  <si>
    <t xml:space="preserve">...</t>
  </si>
  <si>
    <t xml:space="preserve">Every value is of the type specified by ArrayElemType.</t>
  </si>
  <si>
    <t xml:space="preserve">not IsArrayElemType</t>
  </si>
  <si>
    <t xml:space="preserve">Each value begins with its own ValueType.</t>
  </si>
  <si>
    <t xml:space="preserve">Struct</t>
  </si>
  <si>
    <t xml:space="preserve">IsValue and IsStruct</t>
  </si>
  <si>
    <t xml:space="preserve">StructElemCount</t>
  </si>
  <si>
    <r>
      <rPr>
        <sz val="11"/>
        <color theme="1"/>
        <rFont val="Calibri"/>
        <family val="0"/>
        <charset val="134"/>
      </rPr>
      <t xml:space="preserve">Number of </t>
    </r>
    <r>
      <rPr>
        <b val="true"/>
        <sz val="11"/>
        <color theme="1"/>
        <rFont val="Calibri"/>
        <family val="0"/>
        <charset val="134"/>
      </rPr>
      <t xml:space="preserve">members</t>
    </r>
    <r>
      <rPr>
        <sz val="11"/>
        <color theme="1"/>
        <rFont val="Calibri"/>
        <family val="0"/>
        <charset val="134"/>
      </rPr>
      <t xml:space="preserve"> in the structure, not number of bytes that make up the data.</t>
    </r>
  </si>
  <si>
    <t xml:space="preserve">Custom</t>
  </si>
  <si>
    <t xml:space="preserve">IsValue and IsCustomType and HasTypeName</t>
  </si>
  <si>
    <t xml:space="preserve">IsNullable</t>
  </si>
  <si>
    <t xml:space="preserve">Reference</t>
  </si>
  <si>
    <t xml:space="preserve">IsStream/IsServlet</t>
  </si>
  <si>
    <t xml:space="preserve">IsReference and IsStream</t>
  </si>
  <si>
    <t xml:space="preserve">IsReference and IsServlet</t>
  </si>
  <si>
    <t xml:space="preserve">HasDevicePath</t>
  </si>
  <si>
    <t xml:space="preserve">DevicePathSize</t>
  </si>
  <si>
    <t xml:space="preserve">DevicesLength</t>
  </si>
  <si>
    <t xml:space="preserve">Number of bytes that Devices consists of.</t>
  </si>
  <si>
    <t xml:space="preserve">DevicePath</t>
  </si>
  <si>
    <t xml:space="preserve">Morph links</t>
  </si>
  <si>
    <t xml:space="preserve">HasArrayIndex</t>
  </si>
  <si>
    <t xml:space="preserve">ValueType</t>
  </si>
  <si>
    <t xml:space="preserve">String: 2 bytes representing byte count of the string, followed by UTF-8 characters</t>
  </si>
  <si>
    <t xml:space="preserve">SimpleType: See tab SimpleType</t>
  </si>
  <si>
    <t xml:space="preserve">Examples</t>
  </si>
  <si>
    <t xml:space="preserve">Decimal</t>
  </si>
  <si>
    <t xml:space="preserve">Value type </t>
  </si>
  <si>
    <t xml:space="preserve">Values obtained</t>
  </si>
  <si>
    <t xml:space="preserve">(ValueName), </t>
  </si>
  <si>
    <t xml:space="preserve">IsStream</t>
  </si>
  <si>
    <t xml:space="preserve">(ValueName), (TypeName), ReferenceID</t>
  </si>
  <si>
    <t xml:space="preserve">IsServlet</t>
  </si>
  <si>
    <t xml:space="preserve">(ValueName), (TypeName), ReferenceID, ApartmentID, (DevicePath), (Index)</t>
  </si>
  <si>
    <t xml:space="preserve">IsSimple</t>
  </si>
  <si>
    <t xml:space="preserve">(ValueName), (TypeName), SimpleType</t>
  </si>
  <si>
    <t xml:space="preserve">(ValueName), (TypeName), ArrayElemCount, (ArrayElemType), Values</t>
  </si>
  <si>
    <t xml:space="preserve">(ValueName), (TypeName), StructElemCount, Values</t>
  </si>
  <si>
    <t xml:space="preserve">(ValueName), (TypeName), (CustomTypeName), SimpleType</t>
  </si>
  <si>
    <t xml:space="preserve">Integer</t>
  </si>
  <si>
    <t xml:space="preserve">IsInteger</t>
  </si>
  <si>
    <t xml:space="preserve">z</t>
  </si>
  <si>
    <t xml:space="preserve">ValueSize = 2^z</t>
  </si>
  <si>
    <t xml:space="preserve">0</t>
  </si>
  <si>
    <t xml:space="preserve">s</t>
  </si>
  <si>
    <t xml:space="preserve">IsUnsigned/IsSigned</t>
  </si>
  <si>
    <t xml:space="preserve">HasValue</t>
  </si>
  <si>
    <t xml:space="preserve">ValueSize</t>
  </si>
  <si>
    <t xml:space="preserve">Char</t>
  </si>
  <si>
    <t xml:space="preserve">IsCharacter</t>
  </si>
  <si>
    <t xml:space="preserve">Single character where ValueSize = 0: UTF-8, 1: UTF-16, 2: UTF-32, 3: ASCII</t>
  </si>
  <si>
    <t xml:space="preserve">Float</t>
  </si>
  <si>
    <t xml:space="preserve">IsFloat</t>
  </si>
  <si>
    <t xml:space="preserve">ValueSize = 2^(z+2)</t>
  </si>
  <si>
    <t xml:space="preserve">https://en.wikipedia.org/wiki/IEEE_754#Basic_and_interchange_formats</t>
  </si>
  <si>
    <t xml:space="preserve">4, 8, 16, 32</t>
  </si>
  <si>
    <t xml:space="preserve">binary32, binary64, binary128, binary256</t>
  </si>
  <si>
    <t xml:space="preserve">ByteCount</t>
  </si>
  <si>
    <t xml:space="preserve">4</t>
  </si>
  <si>
    <t xml:space="preserve">Byte length of string.</t>
  </si>
  <si>
    <t xml:space="preserve">0+</t>
  </si>
  <si>
    <r>
      <rPr>
        <sz val="11"/>
        <color rgb="FF000000"/>
        <rFont val="Calibri"/>
        <family val="0"/>
        <charset val="1"/>
      </rPr>
      <t xml:space="preserve">Strings are </t>
    </r>
    <r>
      <rPr>
        <b val="true"/>
        <sz val="11"/>
        <color rgb="FF000000"/>
        <rFont val="Calibri"/>
        <family val="0"/>
        <charset val="1"/>
      </rPr>
      <t xml:space="preserve">always</t>
    </r>
    <r>
      <rPr>
        <sz val="11"/>
        <color rgb="FF000000"/>
        <rFont val="Calibri"/>
        <family val="0"/>
        <charset val="1"/>
      </rPr>
      <t xml:space="preserve"> encoded in </t>
    </r>
    <r>
      <rPr>
        <b val="true"/>
        <sz val="11"/>
        <color rgb="FF000000"/>
        <rFont val="Calibri"/>
        <family val="0"/>
        <charset val="1"/>
      </rPr>
      <t xml:space="preserve">UTF-8</t>
    </r>
    <r>
      <rPr>
        <sz val="11"/>
        <color rgb="FF000000"/>
        <rFont val="Calibri"/>
        <family val="0"/>
        <charset val="1"/>
      </rPr>
      <t xml:space="preserve">.</t>
    </r>
  </si>
  <si>
    <t xml:space="preserve">Enum (Ordinal)</t>
  </si>
  <si>
    <t xml:space="preserve">IsEnum (Ordinal)</t>
  </si>
  <si>
    <t xml:space="preserve">IsEnumSet</t>
  </si>
  <si>
    <t xml:space="preserve">Enumeration sets are encoded in the Pascal/Delphi way.</t>
  </si>
  <si>
    <t xml:space="preserve">Enum type name</t>
  </si>
  <si>
    <t xml:space="preserve">b</t>
  </si>
  <si>
    <t xml:space="preserve">IsBool</t>
  </si>
  <si>
    <t xml:space="preserve">The full byte value for boolean is 0x84.</t>
  </si>
  <si>
    <t xml:space="preserve">1, 2, 4, 8</t>
  </si>
  <si>
    <t xml:space="preserve">Read as Integer</t>
  </si>
  <si>
    <t xml:space="preserve">Enum (String)</t>
  </si>
  <si>
    <t xml:space="preserve">IsEnum (String)</t>
  </si>
  <si>
    <t xml:space="preserve">Values are comma delimited, without spaces. Ending comma is ignored.</t>
  </si>
  <si>
    <t xml:space="preserve">Date/Time (numeric)</t>
  </si>
  <si>
    <t xml:space="preserve">IsWhen (Numeric)</t>
  </si>
  <si>
    <t xml:space="preserve">Under construction. Do not use.</t>
  </si>
  <si>
    <t xml:space="preserve">IsTimeSpan</t>
  </si>
  <si>
    <t xml:space="preserve">IsTime</t>
  </si>
  <si>
    <t xml:space="preserve">IsDate</t>
  </si>
  <si>
    <t xml:space="preserve">IsDateTime</t>
  </si>
  <si>
    <t xml:space="preserve">L</t>
  </si>
  <si>
    <t xml:space="preserve">IsUTC/IsLocal</t>
  </si>
  <si>
    <t xml:space="preserve">IsLocal implies the time refers to the local timezone, whatever that may currently be.</t>
  </si>
  <si>
    <t xml:space="preserve">4?</t>
  </si>
  <si>
    <t xml:space="preserve">Read as Float</t>
  </si>
  <si>
    <t xml:space="preserve">Date/Time (string)</t>
  </si>
  <si>
    <t xml:space="preserve">IsWhen (String)</t>
  </si>
  <si>
    <t xml:space="preserve">IsDuration</t>
  </si>
  <si>
    <t xml:space="preserve">https://en.wikipedia.org/wiki/ISO_8601#Durations</t>
  </si>
  <si>
    <t xml:space="preserve">http://www.w3.org/TR/xmlschema-2/#time</t>
  </si>
  <si>
    <t xml:space="preserve">http://www.w3.org/TR/xmlschema-2/#date</t>
  </si>
  <si>
    <t xml:space="preserve">http://www.w3.org/TR/xmlschema-2/#dateTime</t>
  </si>
  <si>
    <r>
      <rPr>
        <b val="true"/>
        <sz val="11"/>
        <color rgb="FF000000"/>
        <rFont val="Calibri"/>
        <family val="0"/>
        <charset val="1"/>
      </rPr>
      <t xml:space="preserve">Instant</t>
    </r>
    <r>
      <rPr>
        <sz val="11"/>
        <color rgb="FF000000"/>
        <rFont val="Calibri"/>
        <family val="0"/>
        <charset val="1"/>
      </rPr>
      <t xml:space="preserve"> is always represented by a date/time in UTC.</t>
    </r>
  </si>
  <si>
    <r>
      <rPr>
        <b val="true"/>
        <sz val="11"/>
        <color rgb="FF000000"/>
        <rFont val="Calibri"/>
        <family val="0"/>
        <charset val="1"/>
      </rPr>
      <t xml:space="preserve">Local time</t>
    </r>
    <r>
      <rPr>
        <sz val="11"/>
        <color rgb="FF000000"/>
        <rFont val="Calibri"/>
        <family val="0"/>
        <charset val="1"/>
      </rPr>
      <t xml:space="preserve"> is always represented by a date/time without "Z".</t>
    </r>
  </si>
  <si>
    <r>
      <rPr>
        <b val="true"/>
        <sz val="11"/>
        <color rgb="FF000000"/>
        <rFont val="Calibri"/>
        <family val="0"/>
        <charset val="1"/>
      </rPr>
      <t xml:space="preserve">Time zone</t>
    </r>
    <r>
      <rPr>
        <sz val="11"/>
        <color rgb="FF000000"/>
        <rFont val="Calibri"/>
        <family val="0"/>
        <charset val="1"/>
      </rPr>
      <t xml:space="preserve"> offsets are </t>
    </r>
    <r>
      <rPr>
        <b val="true"/>
        <sz val="11"/>
        <color rgb="FF000000"/>
        <rFont val="Calibri"/>
        <family val="0"/>
        <charset val="1"/>
      </rPr>
      <t xml:space="preserve">not</t>
    </r>
    <r>
      <rPr>
        <sz val="11"/>
        <color rgb="FF000000"/>
        <rFont val="Calibri"/>
        <family val="0"/>
        <charset val="1"/>
      </rPr>
      <t xml:space="preserve"> supported, for the sake of simple Morph implementations.</t>
    </r>
  </si>
  <si>
    <t xml:space="preserve">StringLength</t>
  </si>
  <si>
    <t xml:space="preserve">1</t>
  </si>
  <si>
    <t xml:space="preserve">Currency</t>
  </si>
  <si>
    <t xml:space="preserve">IsCurrency</t>
  </si>
  <si>
    <t xml:space="preserve">8</t>
  </si>
  <si>
    <t xml:space="preserve">https://learn.microsoft.com/en-us/office/vba/language/reference/user-interface-help/currency-data-type</t>
  </si>
  <si>
    <t xml:space="preserve">Loose reasoning</t>
  </si>
  <si>
    <t xml:space="preserve">More complexity</t>
  </si>
  <si>
    <t xml:space="preserve">Size indicator</t>
  </si>
  <si>
    <t xml:space="preserve">Composite type</t>
  </si>
  <si>
    <t xml:space="preserve">Numeric vs. character</t>
  </si>
  <si>
    <t xml:space="preserve">UInt8</t>
  </si>
  <si>
    <t xml:space="preserve">UInt16</t>
  </si>
  <si>
    <t xml:space="preserve">UInt32</t>
  </si>
  <si>
    <t xml:space="preserve">UInt64</t>
  </si>
  <si>
    <t xml:space="preserve">Int8</t>
  </si>
  <si>
    <t xml:space="preserve">Int16</t>
  </si>
  <si>
    <t xml:space="preserve">Int32</t>
  </si>
  <si>
    <t xml:space="preserve">Int64</t>
  </si>
  <si>
    <t xml:space="preserve">Char (UTF-8)</t>
  </si>
  <si>
    <t xml:space="preserve">Char (UTF-16)</t>
  </si>
  <si>
    <t xml:space="preserve">Char (UTF-32)</t>
  </si>
  <si>
    <t xml:space="preserve">Char (ASCII)</t>
  </si>
  <si>
    <t xml:space="preserve">Reasonable enum</t>
  </si>
  <si>
    <t xml:space="preserve">An enumerated type in ordinal (numeric) form.</t>
  </si>
  <si>
    <t xml:space="preserve">Set (small enum)</t>
  </si>
  <si>
    <t xml:space="preserve">A set of an enumerated type with a maximum of 8 values.</t>
  </si>
  <si>
    <t xml:space="preserve">Set (medium enum)</t>
  </si>
  <si>
    <t xml:space="preserve">A set of an enumerated type with a maximum of 16 values.</t>
  </si>
  <si>
    <t xml:space="preserve">Boolean</t>
  </si>
  <si>
    <t xml:space="preserve">Enum as string</t>
  </si>
  <si>
    <t xml:space="preserve">An enumerated type in string form.</t>
  </si>
  <si>
    <t xml:space="preserve">Enum set as string</t>
  </si>
  <si>
    <t xml:space="preserve">An enumerated set type in string form.</t>
  </si>
  <si>
    <t xml:space="preserve">UTC date/time (string)</t>
  </si>
  <si>
    <t xml:space="preserve">Local date/time (string)</t>
  </si>
  <si>
    <r>
      <rPr>
        <b val="true"/>
        <sz val="11"/>
        <color rgb="FF000000"/>
        <rFont val="Calibri"/>
        <family val="0"/>
        <charset val="1"/>
      </rPr>
      <t xml:space="preserve">Note:</t>
    </r>
    <r>
      <rPr>
        <sz val="11"/>
        <color rgb="FF000000"/>
        <rFont val="Calibri"/>
        <family val="0"/>
        <charset val="1"/>
      </rPr>
      <t xml:space="preserve"> Unused bits must be set to 0, to avoid ambiguity and confusion.</t>
    </r>
  </si>
  <si>
    <r>
      <rPr>
        <b val="true"/>
        <sz val="11"/>
        <color rgb="FF000000"/>
        <rFont val="Calibri"/>
        <family val="0"/>
        <charset val="1"/>
      </rPr>
      <t xml:space="preserve">Note:</t>
    </r>
    <r>
      <rPr>
        <sz val="11"/>
        <color rgb="FF000000"/>
        <rFont val="Calibri"/>
        <family val="0"/>
        <charset val="1"/>
      </rPr>
      <t xml:space="preserve"> It is </t>
    </r>
    <r>
      <rPr>
        <b val="true"/>
        <i val="true"/>
        <sz val="11"/>
        <color rgb="FF000000"/>
        <rFont val="Calibri"/>
        <family val="0"/>
        <charset val="1"/>
      </rPr>
      <t xml:space="preserve">not</t>
    </r>
    <r>
      <rPr>
        <sz val="11"/>
        <color rgb="FF000000"/>
        <rFont val="Calibri"/>
        <family val="0"/>
        <charset val="1"/>
      </rPr>
      <t xml:space="preserve"> expected that all platforms support all data-types.</t>
    </r>
  </si>
  <si>
    <t xml:space="preserve">y</t>
  </si>
  <si>
    <t xml:space="preserve">Step</t>
  </si>
  <si>
    <t xml:space="preserve">Classification</t>
  </si>
  <si>
    <t xml:space="preserve">-</t>
  </si>
  <si>
    <t xml:space="preserve">i</t>
  </si>
  <si>
    <t xml:space="preserve">Next</t>
  </si>
  <si>
    <t xml:space="preserve">Index - Send</t>
  </si>
  <si>
    <t xml:space="preserve">LinkSequenceIndexSend</t>
  </si>
  <si>
    <t xml:space="preserve">n</t>
  </si>
  <si>
    <t xml:space="preserve">a</t>
  </si>
  <si>
    <t xml:space="preserve">Start</t>
  </si>
  <si>
    <t xml:space="preserve">Request</t>
  </si>
  <si>
    <t xml:space="preserve">Lossless</t>
  </si>
  <si>
    <t xml:space="preserve">Start - Send</t>
  </si>
  <si>
    <t xml:space="preserve">LinkSequenceStartSend</t>
  </si>
  <si>
    <t xml:space="preserve">Lossy</t>
  </si>
  <si>
    <t xml:space="preserve">Confirm</t>
  </si>
  <si>
    <t xml:space="preserve">Ack</t>
  </si>
  <si>
    <t xml:space="preserve">Index - Reply</t>
  </si>
  <si>
    <t xml:space="preserve">LinkSequenceIndexReply</t>
  </si>
  <si>
    <t xml:space="preserve">Demand</t>
  </si>
  <si>
    <t xml:space="preserve">Start - Reply</t>
  </si>
  <si>
    <t xml:space="preserve">LinkSequenceStartReply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</si>
</sst>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\$#,##0;[RED]&quot;-$&quot;#,##0"/>
  </numFmts>
  <fonts count="2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1"/>
      <color theme="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theme="1"/>
      <name val="Calibri"/>
      <family val="0"/>
      <charset val="1"/>
    </font>
    <font>
      <sz val="11"/>
      <color rgb="FF000000"/>
      <name val="Symbol"/>
      <family val="0"/>
      <charset val="2"/>
    </font>
    <font>
      <sz val="7"/>
      <color rgb="FF000000"/>
      <name val="Times New Roman"/>
      <family val="0"/>
      <charset val="1"/>
    </font>
    <font>
      <i val="true"/>
      <sz val="11"/>
      <color rgb="FF000000"/>
      <name val="Calibri"/>
      <family val="0"/>
      <charset val="1"/>
    </font>
    <font>
      <sz val="7"/>
      <color rgb="FF000000"/>
      <name val="Times New Roman"/>
      <family val="0"/>
      <charset val="2"/>
    </font>
    <font>
      <sz val="11"/>
      <color rgb="FF000000"/>
      <name val="Calibri"/>
      <family val="0"/>
      <charset val="2"/>
    </font>
    <font>
      <i val="true"/>
      <sz val="11"/>
      <color theme="1"/>
      <name val="Calibri"/>
      <family val="0"/>
      <charset val="1"/>
    </font>
    <font>
      <b val="true"/>
      <sz val="11"/>
      <color theme="1"/>
      <name val="Calibri"/>
      <family val="0"/>
      <charset val="134"/>
    </font>
    <font>
      <sz val="11"/>
      <color theme="1"/>
      <name val="Calibri"/>
      <family val="0"/>
      <charset val="134"/>
    </font>
    <font>
      <b val="true"/>
      <u val="single"/>
      <sz val="11"/>
      <color theme="1"/>
      <name val="Calibri"/>
      <family val="0"/>
      <charset val="134"/>
    </font>
    <font>
      <sz val="10"/>
      <name val="Arial"/>
      <family val="2"/>
    </font>
    <font>
      <sz val="9"/>
      <name val="Tahoma"/>
      <family val="0"/>
      <charset val="134"/>
    </font>
    <font>
      <u val="single"/>
      <sz val="11"/>
      <color theme="10"/>
      <name val="Calibri"/>
      <family val="0"/>
      <charset val="1"/>
    </font>
    <font>
      <b val="true"/>
      <i val="true"/>
      <sz val="11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5"/>
        <bgColor rgb="FFEEEEEE"/>
      </patternFill>
    </fill>
    <fill>
      <patternFill patternType="solid">
        <fgColor rgb="FFEEEEEE"/>
        <bgColor rgb="FFFFFFCC"/>
      </patternFill>
    </fill>
  </fills>
  <borders count="61">
    <border diagonalUp="false" diagonalDown="false">
      <left/>
      <right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hair"/>
      <right/>
      <top style="thin"/>
      <bottom style="hair"/>
      <diagonal/>
    </border>
    <border diagonalUp="false" diagonalDown="false">
      <left style="thin"/>
      <right/>
      <top style="hair"/>
      <bottom/>
      <diagonal/>
    </border>
    <border diagonalUp="false" diagonalDown="false">
      <left style="thin"/>
      <right style="thin"/>
      <top style="hair"/>
      <bottom/>
      <diagonal/>
    </border>
    <border diagonalUp="false" diagonalDown="false">
      <left style="thin"/>
      <right style="hair"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thin"/>
      <top style="hair"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hair"/>
      <top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thin"/>
      <top/>
      <bottom/>
      <diagonal/>
    </border>
    <border diagonalUp="false" diagonalDown="false">
      <left style="hair"/>
      <right/>
      <top/>
      <bottom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thin"/>
      <right/>
      <top/>
      <bottom style="hair"/>
      <diagonal/>
    </border>
    <border diagonalUp="false" diagonalDown="false">
      <left style="thin"/>
      <right style="thin"/>
      <top/>
      <bottom style="hair"/>
      <diagonal/>
    </border>
    <border diagonalUp="false" diagonalDown="false">
      <left style="thin"/>
      <right style="hair"/>
      <top/>
      <bottom style="hair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 style="thin"/>
      <top/>
      <bottom style="hair"/>
      <diagonal/>
    </border>
    <border diagonalUp="false" diagonalDown="false">
      <left style="hair"/>
      <right/>
      <top/>
      <bottom style="hair"/>
      <diagonal/>
    </border>
    <border diagonalUp="false" diagonalDown="false">
      <left style="thin"/>
      <right/>
      <top style="hair"/>
      <bottom style="thin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hair"/>
      <right/>
      <top style="hair"/>
      <bottom style="thin"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dashed"/>
      <top style="medium"/>
      <bottom/>
      <diagonal/>
    </border>
    <border diagonalUp="false" diagonalDown="false">
      <left style="dashed"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 style="dashed"/>
      <top/>
      <bottom/>
      <diagonal/>
    </border>
    <border diagonalUp="false" diagonalDown="false">
      <left style="dashed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dashed"/>
      <top/>
      <bottom style="thin"/>
      <diagonal/>
    </border>
    <border diagonalUp="false" diagonalDown="false">
      <left style="dashed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dashed"/>
      <top style="thin"/>
      <bottom/>
      <diagonal/>
    </border>
    <border diagonalUp="false" diagonalDown="false">
      <left style="dashed"/>
      <right/>
      <top style="thin"/>
      <bottom/>
      <diagonal/>
    </border>
    <border diagonalUp="false" diagonalDown="false">
      <left style="thin"/>
      <right style="thin"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9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9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7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5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6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32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38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3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5" shrinkToFit="false"/>
      <protection locked="true" hidden="false"/>
    </xf>
    <xf numFmtId="164" fontId="1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4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4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4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4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4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1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4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5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5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56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2" borderId="4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2" borderId="5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5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2" borderId="5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2" borderId="5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2" borderId="5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57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6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2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5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5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5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5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5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4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5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5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5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7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5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5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2" xfId="0" applyFont="false" applyBorder="true" applyAlignment="true" applyProtection="true">
      <alignment horizontal="left" vertical="bottom" textRotation="74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bottom" textRotation="74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5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5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5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5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5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5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5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5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2" borderId="57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1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5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5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2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en.wikipedia.org/wiki/IEEE_754" TargetMode="External"/><Relationship Id="rId2" Type="http://schemas.openxmlformats.org/officeDocument/2006/relationships/hyperlink" Target="https://en.wikipedia.org/wiki/ISO_8601" TargetMode="External"/><Relationship Id="rId3" Type="http://schemas.openxmlformats.org/officeDocument/2006/relationships/hyperlink" Target="http://www.w3.org/TR/xmlschema-2/" TargetMode="External"/><Relationship Id="rId4" Type="http://schemas.openxmlformats.org/officeDocument/2006/relationships/hyperlink" Target="http://www.w3.org/TR/xmlschema-2/" TargetMode="External"/><Relationship Id="rId5" Type="http://schemas.openxmlformats.org/officeDocument/2006/relationships/hyperlink" Target="http://www.w3.org/TR/xmlschema-2/" TargetMode="External"/><Relationship Id="rId6" Type="http://schemas.openxmlformats.org/officeDocument/2006/relationships/hyperlink" Target="https://learn.microsoft.com/en-us/office/vba/language/reference/user-interface-help/currency-data-typ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6" zoomScaleNormal="106" zoomScalePageLayoutView="100" workbookViewId="0">
      <selection pane="topLeft" activeCell="B29" activeCellId="0" sqref="B29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1" width="15.14"/>
    <col collapsed="false" customWidth="true" hidden="false" outlineLevel="0" max="2" min="2" style="2" width="11.43"/>
    <col collapsed="false" customWidth="true" hidden="false" outlineLevel="0" max="3" min="3" style="2" width="7.29"/>
    <col collapsed="false" customWidth="true" hidden="false" outlineLevel="0" max="4" min="4" style="1" width="9.71"/>
  </cols>
  <sheetData>
    <row r="1" customFormat="false" ht="14.25" hidden="false" customHeight="false" outlineLevel="0" collapsed="false">
      <c r="A1" s="3" t="s">
        <v>0</v>
      </c>
      <c r="B1" s="4" t="s">
        <v>1</v>
      </c>
      <c r="C1" s="4" t="s">
        <v>2</v>
      </c>
      <c r="D1" s="3" t="s">
        <v>3</v>
      </c>
    </row>
    <row r="2" customFormat="false" ht="14.25" hidden="false" customHeight="false" outlineLevel="0" collapsed="false">
      <c r="A2" s="1" t="s">
        <v>4</v>
      </c>
      <c r="B2" s="2" t="s">
        <v>5</v>
      </c>
      <c r="C2" s="2" t="n">
        <v>6</v>
      </c>
      <c r="D2" s="1" t="s">
        <v>6</v>
      </c>
    </row>
    <row r="3" customFormat="false" ht="14.25" hidden="false" customHeight="false" outlineLevel="0" collapsed="false">
      <c r="A3" s="1" t="s">
        <v>7</v>
      </c>
      <c r="B3" s="2" t="n">
        <v>2</v>
      </c>
      <c r="C3" s="2" t="n">
        <v>1</v>
      </c>
      <c r="D3" s="1" t="s">
        <v>8</v>
      </c>
    </row>
    <row r="4" customFormat="false" ht="14.25" hidden="false" customHeight="false" outlineLevel="0" collapsed="false">
      <c r="A4" s="1" t="s">
        <v>9</v>
      </c>
      <c r="B4" s="2" t="n">
        <v>1</v>
      </c>
      <c r="C4" s="2" t="n">
        <v>1</v>
      </c>
      <c r="D4" s="1" t="s">
        <v>10</v>
      </c>
    </row>
    <row r="5" customFormat="false" ht="14.25" hidden="false" customHeight="false" outlineLevel="0" collapsed="false">
      <c r="A5" s="5"/>
      <c r="B5" s="5"/>
      <c r="C5" s="5"/>
      <c r="D5" s="5"/>
    </row>
    <row r="6" customFormat="false" ht="14.25" hidden="false" customHeight="false" outlineLevel="0" collapsed="false">
      <c r="A6" s="5" t="s">
        <v>11</v>
      </c>
      <c r="B6" s="5"/>
      <c r="C6" s="5"/>
    </row>
    <row r="7" customFormat="false" ht="14.25" hidden="false" customHeight="false" outlineLevel="0" collapsed="false">
      <c r="A7" s="5" t="s">
        <v>12</v>
      </c>
    </row>
    <row r="9" customFormat="false" ht="14.25" hidden="false" customHeight="false" outlineLevel="0" collapsed="false">
      <c r="A9" s="6" t="s">
        <v>13</v>
      </c>
    </row>
    <row r="12" customFormat="false" ht="14.25" hidden="false" customHeight="false" outlineLevel="0" collapsed="false">
      <c r="A12" s="3" t="s">
        <v>14</v>
      </c>
    </row>
    <row r="13" customFormat="false" ht="14.25" hidden="false" customHeight="false" outlineLevel="0" collapsed="false">
      <c r="A13" s="1" t="s">
        <v>15</v>
      </c>
      <c r="B13" s="7" t="n">
        <v>57344</v>
      </c>
    </row>
    <row r="14" customFormat="false" ht="14.25" hidden="false" customHeight="false" outlineLevel="0" collapsed="false">
      <c r="A14" s="1" t="s">
        <v>16</v>
      </c>
      <c r="B14" s="8" t="s">
        <v>17</v>
      </c>
    </row>
    <row r="15" customFormat="false" ht="14.25" hidden="false" customHeight="false" outlineLevel="0" collapsed="false">
      <c r="B15" s="9"/>
    </row>
    <row r="16" customFormat="false" ht="14.25" hidden="false" customHeight="false" outlineLevel="0" collapsed="false">
      <c r="A16" s="3" t="s">
        <v>18</v>
      </c>
    </row>
    <row r="17" customFormat="false" ht="14.25" hidden="false" customHeight="false" outlineLevel="0" collapsed="false">
      <c r="A17" s="1" t="s">
        <v>15</v>
      </c>
      <c r="B17" s="7" t="n">
        <v>57429</v>
      </c>
    </row>
    <row r="18" customFormat="false" ht="14.25" hidden="false" customHeight="false" outlineLevel="0" collapsed="false">
      <c r="A18" s="1" t="s">
        <v>16</v>
      </c>
      <c r="B18" s="8" t="s">
        <v>19</v>
      </c>
    </row>
    <row r="19" customFormat="false" ht="14.25" hidden="false" customHeight="false" outlineLevel="0" collapsed="false">
      <c r="B19" s="9"/>
    </row>
    <row r="20" customFormat="false" ht="14.25" hidden="false" customHeight="false" outlineLevel="0" collapsed="false">
      <c r="A20" s="1" t="s">
        <v>20</v>
      </c>
    </row>
    <row r="21" customFormat="false" ht="14.25" hidden="false" customHeight="false" outlineLevel="0" collapsed="false">
      <c r="A21" s="1" t="s">
        <v>21</v>
      </c>
    </row>
    <row r="22" customFormat="false" ht="14.25" hidden="false" customHeight="false" outlineLevel="0" collapsed="false">
      <c r="A22" s="1" t="s">
        <v>22</v>
      </c>
    </row>
    <row r="23" customFormat="false" ht="14.25" hidden="false" customHeight="false" outlineLevel="0" collapsed="false">
      <c r="A23" s="1" t="s">
        <v>23</v>
      </c>
    </row>
    <row r="24" customFormat="false" ht="14.25" hidden="false" customHeight="false" outlineLevel="0" collapsed="false">
      <c r="A24" s="1" t="s">
        <v>24</v>
      </c>
    </row>
    <row r="25" customFormat="false" ht="14.25" hidden="false" customHeight="false" outlineLevel="0" collapsed="false">
      <c r="A25" s="1" t="s">
        <v>25</v>
      </c>
    </row>
    <row r="27" customFormat="false" ht="14.25" hidden="false" customHeight="false" outlineLevel="0" collapsed="false">
      <c r="A27" s="1" t="s">
        <v>26</v>
      </c>
    </row>
    <row r="28" customFormat="false" ht="14.25" hidden="false" customHeight="false" outlineLevel="0" collapsed="false">
      <c r="A28" s="10" t="s">
        <v>27</v>
      </c>
      <c r="B28" s="10" t="s">
        <v>28</v>
      </c>
    </row>
    <row r="29" customFormat="false" ht="14.25" hidden="false" customHeight="false" outlineLevel="0" collapsed="false">
      <c r="A29" s="10" t="s">
        <v>29</v>
      </c>
      <c r="B29" s="10" t="s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48576"/>
  <sheetViews>
    <sheetView showFormulas="false" showGridLines="true" showRowColHeaders="true" showZeros="true" rightToLeft="false" tabSelected="false" showOutlineSymbols="true" defaultGridColor="true" view="normal" topLeftCell="A1" colorId="64" zoomScale="106" zoomScaleNormal="106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9.1484375" defaultRowHeight="14.25" customHeight="true" zeroHeight="false" outlineLevelRow="1" outlineLevelCol="0"/>
  <cols>
    <col collapsed="false" customWidth="true" hidden="false" outlineLevel="0" max="1" min="1" style="11" width="15"/>
    <col collapsed="false" customWidth="true" hidden="false" outlineLevel="0" max="2" min="2" style="11" width="23.25"/>
    <col collapsed="false" customWidth="true" hidden="false" outlineLevel="0" max="10" min="3" style="12" width="3"/>
    <col collapsed="false" customWidth="true" hidden="false" outlineLevel="0" max="12" min="11" style="13" width="6"/>
    <col collapsed="false" customWidth="true" hidden="false" outlineLevel="0" max="13" min="13" style="11" width="22.71"/>
    <col collapsed="false" customWidth="true" hidden="false" outlineLevel="0" max="14" min="14" style="12" width="6.14"/>
    <col collapsed="false" customWidth="true" hidden="false" outlineLevel="0" max="15" min="15" style="12" width="13.29"/>
    <col collapsed="false" customWidth="true" hidden="false" outlineLevel="0" max="16" min="16" style="11" width="17.71"/>
    <col collapsed="false" customWidth="true" hidden="false" outlineLevel="0" max="17" min="17" style="14" width="46.27"/>
    <col collapsed="false" customWidth="true" hidden="false" outlineLevel="0" max="19" min="18" style="12" width="6.85"/>
    <col collapsed="false" customWidth="false" hidden="false" outlineLevel="0" max="16384" min="22" style="11" width="9.14"/>
  </cols>
  <sheetData>
    <row r="1" customFormat="false" ht="30" hidden="false" customHeight="true" outlineLevel="0" collapsed="false">
      <c r="A1" s="15" t="s">
        <v>31</v>
      </c>
      <c r="B1" s="15" t="s">
        <v>32</v>
      </c>
      <c r="C1" s="16" t="s">
        <v>33</v>
      </c>
      <c r="D1" s="17" t="s">
        <v>34</v>
      </c>
      <c r="E1" s="17"/>
      <c r="F1" s="17"/>
      <c r="G1" s="17" t="s">
        <v>35</v>
      </c>
      <c r="H1" s="17"/>
      <c r="I1" s="17"/>
      <c r="J1" s="17"/>
      <c r="K1" s="17" t="s">
        <v>1</v>
      </c>
      <c r="L1" s="17"/>
      <c r="M1" s="15" t="s">
        <v>36</v>
      </c>
      <c r="N1" s="18" t="s">
        <v>37</v>
      </c>
      <c r="O1" s="18"/>
      <c r="P1" s="15" t="s">
        <v>1</v>
      </c>
      <c r="Q1" s="19" t="s">
        <v>38</v>
      </c>
      <c r="R1" s="20" t="s">
        <v>39</v>
      </c>
      <c r="S1" s="20" t="s">
        <v>40</v>
      </c>
    </row>
    <row r="2" customFormat="false" ht="14.25" hidden="false" customHeight="false" outlineLevel="0" collapsed="false">
      <c r="A2" s="21"/>
      <c r="B2" s="22"/>
      <c r="C2" s="23" t="n">
        <v>7</v>
      </c>
      <c r="D2" s="24" t="n">
        <v>6</v>
      </c>
      <c r="E2" s="24" t="n">
        <v>5</v>
      </c>
      <c r="F2" s="24" t="n">
        <v>4</v>
      </c>
      <c r="G2" s="24" t="n">
        <v>3</v>
      </c>
      <c r="H2" s="24" t="n">
        <v>2</v>
      </c>
      <c r="I2" s="24" t="n">
        <v>1</v>
      </c>
      <c r="J2" s="25" t="n">
        <v>0</v>
      </c>
      <c r="K2" s="26" t="s">
        <v>41</v>
      </c>
      <c r="L2" s="27" t="s">
        <v>42</v>
      </c>
      <c r="M2" s="22"/>
      <c r="N2" s="28" t="s">
        <v>43</v>
      </c>
      <c r="O2" s="28" t="s">
        <v>44</v>
      </c>
      <c r="P2" s="22"/>
      <c r="Q2" s="29"/>
      <c r="R2" s="20" t="str">
        <f aca="false">CONCATENATE(ROUND(AVERAGE(R3:R68)*100/3,0),"%")</f>
        <v>81%</v>
      </c>
      <c r="S2" s="20" t="str">
        <f aca="false">CONCATENATE(ROUND(AVERAGE(S3:S68)*100/4,0),"%")</f>
        <v>69%</v>
      </c>
    </row>
    <row r="3" customFormat="false" ht="14.25" hidden="false" customHeight="false" outlineLevel="0" collapsed="false">
      <c r="A3" s="30" t="s">
        <v>45</v>
      </c>
      <c r="B3" s="30"/>
      <c r="C3" s="31"/>
      <c r="D3" s="32"/>
      <c r="E3" s="33"/>
      <c r="F3" s="34"/>
      <c r="G3" s="32" t="n">
        <v>0</v>
      </c>
      <c r="H3" s="33" t="n">
        <v>0</v>
      </c>
      <c r="I3" s="33" t="n">
        <v>0</v>
      </c>
      <c r="J3" s="34" t="n">
        <v>0</v>
      </c>
      <c r="K3" s="35" t="n">
        <f aca="false">SUM(G3*8,H3*4,I3*2,J3)</f>
        <v>0</v>
      </c>
      <c r="L3" s="36" t="n">
        <f aca="false">IF(K3&lt;=9,K3,CHAR(K3-10+CODE("A")))</f>
        <v>0</v>
      </c>
      <c r="M3" s="37"/>
      <c r="N3" s="32" t="n">
        <v>1</v>
      </c>
      <c r="O3" s="33" t="n">
        <v>1</v>
      </c>
      <c r="P3" s="38"/>
      <c r="Q3" s="39" t="s">
        <v>46</v>
      </c>
      <c r="R3" s="40" t="n">
        <v>3</v>
      </c>
      <c r="S3" s="40" t="n">
        <v>4</v>
      </c>
    </row>
    <row r="4" customFormat="false" ht="14.25" hidden="false" customHeight="false" outlineLevel="0" collapsed="false">
      <c r="A4" s="30" t="s">
        <v>47</v>
      </c>
      <c r="B4" s="30"/>
      <c r="C4" s="31" t="s">
        <v>48</v>
      </c>
      <c r="D4" s="32" t="str">
        <f aca="false">IF(COUNTA(D5:D8)&gt;0,"z","")</f>
        <v>z</v>
      </c>
      <c r="E4" s="33" t="str">
        <f aca="false">IF(COUNTA(E5:E8)&gt;0,"y","")</f>
        <v>y</v>
      </c>
      <c r="F4" s="34" t="str">
        <f aca="false">IF(COUNTA(F5:F8)&gt;0,"x","")</f>
        <v>x</v>
      </c>
      <c r="G4" s="32" t="n">
        <v>1</v>
      </c>
      <c r="H4" s="33" t="n">
        <v>0</v>
      </c>
      <c r="I4" s="33" t="n">
        <v>0</v>
      </c>
      <c r="J4" s="34" t="n">
        <v>0</v>
      </c>
      <c r="K4" s="35" t="n">
        <f aca="false">SUM(G4*8,H4*4,I4*2,J4)</f>
        <v>8</v>
      </c>
      <c r="L4" s="36" t="n">
        <f aca="false">IF(K4&lt;=9,K4,CHAR(K4-10+CODE("A")))</f>
        <v>8</v>
      </c>
      <c r="M4" s="41"/>
      <c r="N4" s="42" t="n">
        <f aca="false">1+SUM(N5:N8)</f>
        <v>5</v>
      </c>
      <c r="O4" s="43" t="n">
        <f aca="false">1+SUM(O5:O8)</f>
        <v>13</v>
      </c>
      <c r="P4" s="38"/>
      <c r="Q4" s="39" t="s">
        <v>49</v>
      </c>
      <c r="R4" s="40" t="n">
        <v>3</v>
      </c>
      <c r="S4" s="40" t="n">
        <v>4</v>
      </c>
    </row>
    <row r="5" customFormat="false" ht="14.25" hidden="true" customHeight="false" outlineLevel="1" collapsed="false">
      <c r="A5" s="44"/>
      <c r="B5" s="44"/>
      <c r="C5" s="45"/>
      <c r="D5" s="46"/>
      <c r="E5" s="47"/>
      <c r="F5" s="48" t="s">
        <v>50</v>
      </c>
      <c r="G5" s="46"/>
      <c r="H5" s="47"/>
      <c r="I5" s="47"/>
      <c r="J5" s="48"/>
      <c r="K5" s="49"/>
      <c r="L5" s="50"/>
      <c r="M5" s="51" t="s">
        <v>51</v>
      </c>
      <c r="N5" s="52"/>
      <c r="O5" s="53" t="n">
        <v>4</v>
      </c>
      <c r="P5" s="54" t="s">
        <v>52</v>
      </c>
      <c r="Q5" s="55"/>
    </row>
    <row r="6" customFormat="false" ht="14.25" hidden="true" customHeight="false" outlineLevel="1" collapsed="false">
      <c r="A6" s="56"/>
      <c r="B6" s="56"/>
      <c r="C6" s="57"/>
      <c r="D6" s="58"/>
      <c r="E6" s="59" t="s">
        <v>50</v>
      </c>
      <c r="F6" s="60"/>
      <c r="G6" s="58"/>
      <c r="H6" s="59"/>
      <c r="I6" s="59"/>
      <c r="J6" s="60"/>
      <c r="K6" s="49"/>
      <c r="L6" s="50"/>
      <c r="M6" s="61" t="s">
        <v>53</v>
      </c>
      <c r="N6" s="62"/>
      <c r="O6" s="59"/>
      <c r="P6" s="63"/>
      <c r="Q6" s="64"/>
    </row>
    <row r="7" customFormat="false" ht="14.25" hidden="true" customHeight="false" outlineLevel="1" collapsed="false">
      <c r="A7" s="56"/>
      <c r="B7" s="56"/>
      <c r="C7" s="57"/>
      <c r="D7" s="58"/>
      <c r="E7" s="59"/>
      <c r="F7" s="60"/>
      <c r="G7" s="58"/>
      <c r="H7" s="59"/>
      <c r="I7" s="59"/>
      <c r="J7" s="60"/>
      <c r="K7" s="49"/>
      <c r="L7" s="50"/>
      <c r="M7" s="61"/>
      <c r="N7" s="62" t="n">
        <v>4</v>
      </c>
      <c r="O7" s="59" t="n">
        <v>4</v>
      </c>
      <c r="P7" s="63" t="s">
        <v>54</v>
      </c>
      <c r="Q7" s="64"/>
    </row>
    <row r="8" customFormat="false" ht="14.25" hidden="true" customHeight="false" outlineLevel="1" collapsed="false">
      <c r="A8" s="56"/>
      <c r="B8" s="56"/>
      <c r="C8" s="57"/>
      <c r="D8" s="58" t="s">
        <v>50</v>
      </c>
      <c r="E8" s="59"/>
      <c r="F8" s="60"/>
      <c r="G8" s="58"/>
      <c r="H8" s="59"/>
      <c r="I8" s="59"/>
      <c r="J8" s="60"/>
      <c r="K8" s="49"/>
      <c r="L8" s="50"/>
      <c r="M8" s="61" t="s">
        <v>55</v>
      </c>
      <c r="N8" s="58"/>
      <c r="O8" s="59" t="n">
        <v>4</v>
      </c>
      <c r="P8" s="63" t="s">
        <v>56</v>
      </c>
      <c r="Q8" s="64"/>
      <c r="R8" s="13"/>
      <c r="S8" s="13"/>
    </row>
    <row r="9" customFormat="false" ht="14.25" hidden="true" customHeight="false" outlineLevel="1" collapsed="false">
      <c r="A9" s="56"/>
      <c r="B9" s="56"/>
      <c r="C9" s="57"/>
      <c r="D9" s="62"/>
      <c r="E9" s="59"/>
      <c r="F9" s="60"/>
      <c r="G9" s="58"/>
      <c r="H9" s="59"/>
      <c r="I9" s="59"/>
      <c r="J9" s="60"/>
      <c r="K9" s="49"/>
      <c r="L9" s="50"/>
      <c r="M9" s="65"/>
      <c r="N9" s="58" t="n">
        <v>0</v>
      </c>
      <c r="O9" s="59" t="s">
        <v>54</v>
      </c>
      <c r="P9" s="63" t="s">
        <v>57</v>
      </c>
      <c r="Q9" s="64"/>
      <c r="R9" s="13"/>
      <c r="S9" s="13"/>
    </row>
    <row r="10" customFormat="false" ht="14.25" hidden="true" customHeight="false" outlineLevel="1" collapsed="false">
      <c r="A10" s="56"/>
      <c r="B10" s="56" t="s">
        <v>58</v>
      </c>
      <c r="C10" s="57"/>
      <c r="D10" s="62"/>
      <c r="E10" s="59"/>
      <c r="F10" s="60"/>
      <c r="G10" s="58"/>
      <c r="H10" s="59"/>
      <c r="I10" s="59"/>
      <c r="J10" s="60"/>
      <c r="K10" s="49"/>
      <c r="L10" s="50"/>
      <c r="M10" s="65"/>
      <c r="N10" s="58" t="n">
        <v>0</v>
      </c>
      <c r="O10" s="59" t="s">
        <v>56</v>
      </c>
      <c r="P10" s="63" t="s">
        <v>59</v>
      </c>
      <c r="Q10" s="64"/>
    </row>
    <row r="11" customFormat="false" ht="14.25" hidden="false" customHeight="false" outlineLevel="0" collapsed="false">
      <c r="A11" s="30" t="s">
        <v>60</v>
      </c>
      <c r="B11" s="30"/>
      <c r="C11" s="31" t="s">
        <v>48</v>
      </c>
      <c r="D11" s="32" t="str">
        <f aca="false">IF(COUNTA(D13:D14)&gt;0,"z","")</f>
        <v/>
      </c>
      <c r="E11" s="33" t="str">
        <f aca="false">IF(COUNTA(E13:E14)&gt;0,"y","")</f>
        <v/>
      </c>
      <c r="F11" s="34" t="str">
        <f aca="false">IF(COUNTA(F13:F14)&gt;0,"x","")</f>
        <v/>
      </c>
      <c r="G11" s="32" t="n">
        <v>0</v>
      </c>
      <c r="H11" s="33" t="n">
        <v>1</v>
      </c>
      <c r="I11" s="33" t="n">
        <v>0</v>
      </c>
      <c r="J11" s="34" t="n">
        <v>0</v>
      </c>
      <c r="K11" s="35" t="n">
        <f aca="false">SUM(G11*8,H11*4,I11*2,J11)</f>
        <v>4</v>
      </c>
      <c r="L11" s="36" t="n">
        <f aca="false">IF(K11&lt;=9,K11,CHAR(K11-10+CODE("A")))</f>
        <v>4</v>
      </c>
      <c r="M11" s="41"/>
      <c r="N11" s="42" t="n">
        <v>5</v>
      </c>
      <c r="O11" s="43" t="s">
        <v>61</v>
      </c>
      <c r="P11" s="38"/>
      <c r="Q11" s="39"/>
      <c r="R11" s="40" t="n">
        <v>3</v>
      </c>
      <c r="S11" s="40" t="n">
        <v>4</v>
      </c>
    </row>
    <row r="12" customFormat="false" ht="15" hidden="true" customHeight="true" outlineLevel="1" collapsed="false">
      <c r="A12" s="66"/>
      <c r="B12" s="66"/>
      <c r="C12" s="67"/>
      <c r="D12" s="68"/>
      <c r="E12" s="69"/>
      <c r="F12" s="70"/>
      <c r="G12" s="68"/>
      <c r="H12" s="69"/>
      <c r="I12" s="69"/>
      <c r="J12" s="70"/>
      <c r="K12" s="49"/>
      <c r="L12" s="50"/>
      <c r="M12" s="71" t="s">
        <v>62</v>
      </c>
      <c r="N12" s="68"/>
      <c r="O12" s="69" t="n">
        <v>4</v>
      </c>
      <c r="P12" s="72" t="s">
        <v>63</v>
      </c>
      <c r="Q12" s="73"/>
    </row>
    <row r="13" customFormat="false" ht="15" hidden="true" customHeight="true" outlineLevel="1" collapsed="false">
      <c r="A13" s="44"/>
      <c r="B13" s="44"/>
      <c r="C13" s="45"/>
      <c r="D13" s="46"/>
      <c r="E13" s="53"/>
      <c r="F13" s="48"/>
      <c r="G13" s="46"/>
      <c r="H13" s="47"/>
      <c r="I13" s="47"/>
      <c r="J13" s="48"/>
      <c r="K13" s="49"/>
      <c r="L13" s="50"/>
      <c r="M13" s="51"/>
      <c r="N13" s="46" t="n">
        <v>4</v>
      </c>
      <c r="O13" s="47" t="n">
        <v>4</v>
      </c>
      <c r="P13" s="54" t="s">
        <v>64</v>
      </c>
      <c r="Q13" s="55" t="s">
        <v>65</v>
      </c>
    </row>
    <row r="14" customFormat="false" ht="15" hidden="true" customHeight="true" outlineLevel="1" collapsed="false">
      <c r="A14" s="66"/>
      <c r="B14" s="66"/>
      <c r="C14" s="70"/>
      <c r="D14" s="74"/>
      <c r="E14" s="69"/>
      <c r="F14" s="70"/>
      <c r="G14" s="68"/>
      <c r="H14" s="69"/>
      <c r="I14" s="69"/>
      <c r="J14" s="70"/>
      <c r="K14" s="49"/>
      <c r="L14" s="50"/>
      <c r="M14" s="75"/>
      <c r="N14" s="74" t="n">
        <v>0</v>
      </c>
      <c r="O14" s="69" t="s">
        <v>66</v>
      </c>
      <c r="P14" s="72" t="s">
        <v>60</v>
      </c>
      <c r="Q14" s="73"/>
    </row>
    <row r="15" customFormat="false" ht="14.25" hidden="false" customHeight="false" outlineLevel="0" collapsed="false">
      <c r="A15" s="41" t="s">
        <v>67</v>
      </c>
      <c r="B15" s="30"/>
      <c r="C15" s="31" t="s">
        <v>48</v>
      </c>
      <c r="D15" s="32" t="str">
        <f aca="false">IF(COUNTA(D16:D17)&gt;0,"z","")</f>
        <v/>
      </c>
      <c r="E15" s="33" t="str">
        <f aca="false">IF(COUNTA(E16:E17)&gt;0,"y","")</f>
        <v/>
      </c>
      <c r="F15" s="34" t="str">
        <f aca="false">IF(COUNTA(F16:F17)&gt;0,"x","")</f>
        <v/>
      </c>
      <c r="G15" s="32" t="n">
        <v>1</v>
      </c>
      <c r="H15" s="33" t="n">
        <v>1</v>
      </c>
      <c r="I15" s="33" t="n">
        <v>0</v>
      </c>
      <c r="J15" s="34" t="n">
        <v>0</v>
      </c>
      <c r="K15" s="35" t="n">
        <f aca="false">SUM(G15*8,H15*4,I15*2,J15)</f>
        <v>12</v>
      </c>
      <c r="L15" s="36" t="str">
        <f aca="false">IF(K15&lt;=9,K15,CHAR(K15-10+CODE("A")))</f>
        <v>C</v>
      </c>
      <c r="M15" s="37"/>
      <c r="N15" s="42" t="s">
        <v>68</v>
      </c>
      <c r="O15" s="43" t="s">
        <v>68</v>
      </c>
      <c r="P15" s="38"/>
      <c r="Q15" s="39" t="s">
        <v>60</v>
      </c>
      <c r="R15" s="40" t="n">
        <v>0</v>
      </c>
      <c r="S15" s="40" t="n">
        <v>0</v>
      </c>
    </row>
    <row r="16" customFormat="false" ht="15" hidden="true" customHeight="true" outlineLevel="1" collapsed="false">
      <c r="A16" s="76"/>
      <c r="B16" s="76"/>
      <c r="C16" s="77"/>
      <c r="D16" s="78"/>
      <c r="E16" s="79"/>
      <c r="F16" s="80"/>
      <c r="G16" s="81"/>
      <c r="H16" s="79"/>
      <c r="I16" s="79"/>
      <c r="J16" s="80"/>
      <c r="K16" s="49"/>
      <c r="L16" s="50"/>
      <c r="M16" s="82"/>
      <c r="N16" s="81"/>
      <c r="O16" s="79"/>
      <c r="P16" s="83"/>
      <c r="Q16" s="84"/>
    </row>
    <row r="17" customFormat="false" ht="15" hidden="true" customHeight="true" outlineLevel="1" collapsed="false">
      <c r="A17" s="85"/>
      <c r="B17" s="85"/>
      <c r="C17" s="86"/>
      <c r="D17" s="87"/>
      <c r="E17" s="88"/>
      <c r="F17" s="89"/>
      <c r="G17" s="87"/>
      <c r="H17" s="88"/>
      <c r="I17" s="88"/>
      <c r="J17" s="90"/>
      <c r="K17" s="49"/>
      <c r="L17" s="50"/>
      <c r="M17" s="91"/>
      <c r="N17" s="92"/>
      <c r="O17" s="88"/>
      <c r="P17" s="93"/>
      <c r="Q17" s="94"/>
    </row>
    <row r="18" customFormat="false" ht="14.25" hidden="false" customHeight="false" outlineLevel="0" collapsed="false">
      <c r="A18" s="30" t="s">
        <v>69</v>
      </c>
      <c r="B18" s="30"/>
      <c r="C18" s="31" t="s">
        <v>48</v>
      </c>
      <c r="D18" s="32" t="str">
        <f aca="false">IF(COUNTA(D19:D22)&gt;0,"z","")</f>
        <v>z</v>
      </c>
      <c r="E18" s="33" t="str">
        <f aca="false">IF(COUNTA(E19:E22)&gt;0,"y","")</f>
        <v>y</v>
      </c>
      <c r="F18" s="34" t="str">
        <f aca="false">IF(COUNTA(F19:F22)&gt;0,"x","")</f>
        <v>x</v>
      </c>
      <c r="G18" s="32" t="n">
        <v>0</v>
      </c>
      <c r="H18" s="33" t="n">
        <v>0</v>
      </c>
      <c r="I18" s="33" t="n">
        <v>1</v>
      </c>
      <c r="J18" s="34" t="n">
        <v>0</v>
      </c>
      <c r="K18" s="35" t="n">
        <f aca="false">SUM(G18*8,H18*4,I18*2,J18)</f>
        <v>2</v>
      </c>
      <c r="L18" s="36" t="n">
        <f aca="false">IF(K18&lt;=9,K18,CHAR(K18-10+CODE("A")))</f>
        <v>2</v>
      </c>
      <c r="M18" s="37"/>
      <c r="N18" s="42" t="n">
        <v>5</v>
      </c>
      <c r="O18" s="43" t="s">
        <v>70</v>
      </c>
      <c r="P18" s="38"/>
      <c r="Q18" s="39"/>
      <c r="R18" s="40" t="n">
        <v>3</v>
      </c>
      <c r="S18" s="40" t="n">
        <v>4</v>
      </c>
    </row>
    <row r="19" customFormat="false" ht="14.25" hidden="true" customHeight="false" outlineLevel="1" collapsed="false">
      <c r="A19" s="76"/>
      <c r="B19" s="76"/>
      <c r="C19" s="77"/>
      <c r="D19" s="81"/>
      <c r="E19" s="95" t="n">
        <v>0</v>
      </c>
      <c r="F19" s="96" t="n">
        <v>0</v>
      </c>
      <c r="G19" s="81"/>
      <c r="H19" s="79"/>
      <c r="I19" s="79"/>
      <c r="J19" s="80"/>
      <c r="K19" s="49"/>
      <c r="L19" s="50"/>
      <c r="M19" s="97" t="s">
        <v>71</v>
      </c>
      <c r="N19" s="81" t="s">
        <v>72</v>
      </c>
      <c r="O19" s="95" t="s">
        <v>72</v>
      </c>
      <c r="P19" s="98" t="s">
        <v>73</v>
      </c>
      <c r="Q19" s="99" t="s">
        <v>74</v>
      </c>
    </row>
    <row r="20" customFormat="false" ht="14.25" hidden="true" customHeight="false" outlineLevel="1" collapsed="false">
      <c r="A20" s="76"/>
      <c r="B20" s="76"/>
      <c r="C20" s="77"/>
      <c r="D20" s="81"/>
      <c r="E20" s="95" t="n">
        <v>0</v>
      </c>
      <c r="F20" s="96" t="n">
        <v>1</v>
      </c>
      <c r="G20" s="81"/>
      <c r="H20" s="79"/>
      <c r="I20" s="79"/>
      <c r="J20" s="80"/>
      <c r="K20" s="49"/>
      <c r="L20" s="50"/>
      <c r="M20" s="97" t="s">
        <v>75</v>
      </c>
      <c r="N20" s="81" t="n">
        <v>4</v>
      </c>
      <c r="O20" s="95" t="n">
        <v>4</v>
      </c>
      <c r="P20" s="98" t="s">
        <v>76</v>
      </c>
      <c r="Q20" s="99" t="s">
        <v>74</v>
      </c>
    </row>
    <row r="21" customFormat="false" ht="14.25" hidden="true" customHeight="false" outlineLevel="1" collapsed="false">
      <c r="A21" s="76"/>
      <c r="B21" s="76" t="s">
        <v>75</v>
      </c>
      <c r="C21" s="77"/>
      <c r="D21" s="81" t="s">
        <v>50</v>
      </c>
      <c r="E21" s="95"/>
      <c r="F21" s="96"/>
      <c r="G21" s="81"/>
      <c r="H21" s="79"/>
      <c r="I21" s="79"/>
      <c r="J21" s="80"/>
      <c r="K21" s="49"/>
      <c r="L21" s="50"/>
      <c r="M21" s="97" t="s">
        <v>77</v>
      </c>
      <c r="N21" s="81" t="n">
        <v>8</v>
      </c>
      <c r="O21" s="95" t="n">
        <v>8</v>
      </c>
      <c r="P21" s="98" t="s">
        <v>78</v>
      </c>
      <c r="Q21" s="99"/>
    </row>
    <row r="22" customFormat="false" ht="15" hidden="true" customHeight="true" outlineLevel="1" collapsed="false">
      <c r="A22" s="66"/>
      <c r="B22" s="66"/>
      <c r="C22" s="67"/>
      <c r="D22" s="68"/>
      <c r="E22" s="69" t="n">
        <v>1</v>
      </c>
      <c r="F22" s="70" t="n">
        <v>1</v>
      </c>
      <c r="G22" s="68"/>
      <c r="H22" s="69"/>
      <c r="I22" s="69"/>
      <c r="J22" s="70"/>
      <c r="K22" s="49"/>
      <c r="L22" s="50"/>
      <c r="M22" s="71" t="s">
        <v>79</v>
      </c>
      <c r="N22" s="74" t="n">
        <v>4</v>
      </c>
      <c r="O22" s="100" t="n">
        <v>4</v>
      </c>
      <c r="P22" s="72" t="s">
        <v>80</v>
      </c>
      <c r="Q22" s="73" t="s">
        <v>60</v>
      </c>
    </row>
    <row r="23" customFormat="false" ht="14.25" hidden="false" customHeight="false" outlineLevel="0" collapsed="false">
      <c r="A23" s="30" t="s">
        <v>81</v>
      </c>
      <c r="B23" s="30"/>
      <c r="C23" s="31" t="s">
        <v>48</v>
      </c>
      <c r="D23" s="32" t="str">
        <f aca="false">IF(COUNTA(D24:D25)&gt;0,"z","")</f>
        <v/>
      </c>
      <c r="E23" s="33" t="str">
        <f aca="false">IF(COUNTA(E24:E25)&gt;0,"y","")</f>
        <v/>
      </c>
      <c r="F23" s="34" t="str">
        <f aca="false">IF(COUNTA(F24:F25)&gt;0,"x","")</f>
        <v/>
      </c>
      <c r="G23" s="32" t="n">
        <v>1</v>
      </c>
      <c r="H23" s="33" t="n">
        <v>0</v>
      </c>
      <c r="I23" s="33" t="n">
        <v>1</v>
      </c>
      <c r="J23" s="34" t="n">
        <v>0</v>
      </c>
      <c r="K23" s="35" t="n">
        <f aca="false">SUM(G23*8,H23*4,I23*2,J23)</f>
        <v>10</v>
      </c>
      <c r="L23" s="36" t="str">
        <f aca="false">IF(K23&lt;=9,K23,CHAR(K23-10+CODE("A")))</f>
        <v>A</v>
      </c>
      <c r="M23" s="37"/>
      <c r="N23" s="42" t="n">
        <f aca="false">1+SUM(N24:N25)</f>
        <v>5</v>
      </c>
      <c r="O23" s="43" t="n">
        <f aca="false">1+SUM(O24:O25)</f>
        <v>5</v>
      </c>
      <c r="P23" s="38"/>
      <c r="Q23" s="39" t="s">
        <v>82</v>
      </c>
      <c r="R23" s="40" t="n">
        <v>3</v>
      </c>
      <c r="S23" s="40" t="n">
        <v>4</v>
      </c>
    </row>
    <row r="24" customFormat="false" ht="14.25" hidden="true" customHeight="false" outlineLevel="1" collapsed="false">
      <c r="A24" s="56"/>
      <c r="B24" s="101"/>
      <c r="C24" s="57"/>
      <c r="D24" s="58"/>
      <c r="E24" s="59"/>
      <c r="F24" s="60"/>
      <c r="G24" s="58"/>
      <c r="H24" s="59"/>
      <c r="I24" s="59"/>
      <c r="J24" s="60"/>
      <c r="K24" s="49"/>
      <c r="L24" s="50"/>
      <c r="M24" s="61"/>
      <c r="N24" s="62" t="n">
        <v>4</v>
      </c>
      <c r="O24" s="59" t="n">
        <v>4</v>
      </c>
      <c r="P24" s="63" t="s">
        <v>83</v>
      </c>
      <c r="Q24" s="64"/>
    </row>
    <row r="25" customFormat="false" ht="15" hidden="true" customHeight="true" outlineLevel="1" collapsed="false">
      <c r="A25" s="85"/>
      <c r="B25" s="85"/>
      <c r="C25" s="86"/>
      <c r="D25" s="92"/>
      <c r="E25" s="88"/>
      <c r="F25" s="89"/>
      <c r="G25" s="87"/>
      <c r="H25" s="88"/>
      <c r="I25" s="88"/>
      <c r="J25" s="90"/>
      <c r="K25" s="49"/>
      <c r="L25" s="50"/>
      <c r="M25" s="91"/>
      <c r="N25" s="87"/>
      <c r="O25" s="88"/>
      <c r="P25" s="93"/>
      <c r="Q25" s="94"/>
    </row>
    <row r="26" customFormat="false" ht="14.25" hidden="false" customHeight="false" outlineLevel="0" collapsed="false">
      <c r="A26" s="30" t="s">
        <v>84</v>
      </c>
      <c r="B26" s="30"/>
      <c r="C26" s="31" t="s">
        <v>48</v>
      </c>
      <c r="D26" s="32" t="str">
        <f aca="false">IF(COUNTA(D27:D30)&gt;0,"z","")</f>
        <v>z</v>
      </c>
      <c r="E26" s="33" t="str">
        <f aca="false">IF(COUNTA(E27:E30)&gt;0,"y","")</f>
        <v>y</v>
      </c>
      <c r="F26" s="34" t="str">
        <f aca="false">IF(COUNTA(F27:F30)&gt;0,"x","")</f>
        <v>x</v>
      </c>
      <c r="G26" s="32" t="n">
        <v>0</v>
      </c>
      <c r="H26" s="33" t="n">
        <v>1</v>
      </c>
      <c r="I26" s="33" t="n">
        <v>1</v>
      </c>
      <c r="J26" s="34" t="n">
        <v>0</v>
      </c>
      <c r="K26" s="35" t="n">
        <f aca="false">SUM(G26*8,H26*4,I26*2,J26)</f>
        <v>6</v>
      </c>
      <c r="L26" s="36" t="n">
        <f aca="false">IF(K26&lt;=9,K26,CHAR(K26-10+CODE("A")))</f>
        <v>6</v>
      </c>
      <c r="M26" s="41"/>
      <c r="N26" s="42" t="s">
        <v>70</v>
      </c>
      <c r="O26" s="43" t="str">
        <f aca="false">CONCATENATE(1+SUM(O27:O30)," + str")</f>
        <v>5 + str</v>
      </c>
      <c r="P26" s="38"/>
      <c r="Q26" s="39" t="s">
        <v>85</v>
      </c>
      <c r="R26" s="40" t="n">
        <v>3</v>
      </c>
      <c r="S26" s="40" t="n">
        <v>4</v>
      </c>
    </row>
    <row r="27" customFormat="false" ht="15" hidden="true" customHeight="true" outlineLevel="1" collapsed="false">
      <c r="A27" s="66"/>
      <c r="B27" s="66"/>
      <c r="C27" s="67"/>
      <c r="D27" s="68"/>
      <c r="E27" s="69"/>
      <c r="F27" s="70"/>
      <c r="G27" s="68"/>
      <c r="H27" s="69"/>
      <c r="I27" s="69"/>
      <c r="J27" s="70"/>
      <c r="K27" s="49"/>
      <c r="L27" s="50"/>
      <c r="M27" s="71"/>
      <c r="N27" s="68" t="s">
        <v>72</v>
      </c>
      <c r="O27" s="69" t="s">
        <v>72</v>
      </c>
      <c r="P27" s="72" t="s">
        <v>86</v>
      </c>
      <c r="Q27" s="73"/>
    </row>
    <row r="28" customFormat="false" ht="15" hidden="true" customHeight="true" outlineLevel="1" collapsed="false">
      <c r="A28" s="66"/>
      <c r="B28" s="44"/>
      <c r="C28" s="67"/>
      <c r="D28" s="68"/>
      <c r="E28" s="69"/>
      <c r="F28" s="70" t="s">
        <v>50</v>
      </c>
      <c r="G28" s="68"/>
      <c r="H28" s="69"/>
      <c r="I28" s="69"/>
      <c r="J28" s="70"/>
      <c r="K28" s="49"/>
      <c r="L28" s="50"/>
      <c r="M28" s="51" t="s">
        <v>87</v>
      </c>
      <c r="N28" s="46" t="n">
        <v>4</v>
      </c>
      <c r="O28" s="47" t="n">
        <v>4</v>
      </c>
      <c r="P28" s="54"/>
      <c r="Q28" s="73"/>
    </row>
    <row r="29" customFormat="false" ht="15" hidden="true" customHeight="true" outlineLevel="1" collapsed="false">
      <c r="A29" s="66"/>
      <c r="B29" s="102" t="s">
        <v>88</v>
      </c>
      <c r="C29" s="67"/>
      <c r="D29" s="68"/>
      <c r="E29" s="69" t="s">
        <v>50</v>
      </c>
      <c r="F29" s="70"/>
      <c r="G29" s="68"/>
      <c r="H29" s="69"/>
      <c r="I29" s="69"/>
      <c r="J29" s="70"/>
      <c r="K29" s="49"/>
      <c r="L29" s="50"/>
      <c r="M29" s="51" t="s">
        <v>89</v>
      </c>
      <c r="N29" s="46"/>
      <c r="O29" s="47"/>
      <c r="P29" s="54"/>
      <c r="Q29" s="73"/>
    </row>
    <row r="30" customFormat="false" ht="15" hidden="true" customHeight="true" outlineLevel="1" collapsed="false">
      <c r="A30" s="44"/>
      <c r="B30" s="102" t="s">
        <v>88</v>
      </c>
      <c r="C30" s="45"/>
      <c r="D30" s="46" t="s">
        <v>50</v>
      </c>
      <c r="E30" s="53"/>
      <c r="F30" s="48"/>
      <c r="G30" s="46"/>
      <c r="H30" s="47"/>
      <c r="I30" s="47"/>
      <c r="J30" s="48"/>
      <c r="K30" s="49"/>
      <c r="L30" s="50"/>
      <c r="M30" s="51" t="s">
        <v>90</v>
      </c>
      <c r="N30" s="46"/>
      <c r="O30" s="47"/>
      <c r="P30" s="54"/>
      <c r="Q30" s="55"/>
    </row>
    <row r="31" customFormat="false" ht="14.25" hidden="false" customHeight="false" outlineLevel="0" collapsed="false">
      <c r="A31" s="30"/>
      <c r="B31" s="30"/>
      <c r="C31" s="31" t="s">
        <v>48</v>
      </c>
      <c r="D31" s="32" t="str">
        <f aca="false">IF(COUNTA(D32:D34)&gt;0,"z","")</f>
        <v/>
      </c>
      <c r="E31" s="33" t="str">
        <f aca="false">IF(COUNTA(E32:E34)&gt;0,"y","")</f>
        <v/>
      </c>
      <c r="F31" s="34" t="str">
        <f aca="false">IF(COUNTA(F32:F34)&gt;0,"x","")</f>
        <v/>
      </c>
      <c r="G31" s="32" t="n">
        <v>1</v>
      </c>
      <c r="H31" s="33" t="n">
        <v>1</v>
      </c>
      <c r="I31" s="33" t="n">
        <v>1</v>
      </c>
      <c r="J31" s="34" t="n">
        <v>0</v>
      </c>
      <c r="K31" s="35" t="n">
        <f aca="false">SUM(G31*8,H31*4,I31*2,J31)</f>
        <v>14</v>
      </c>
      <c r="L31" s="36" t="str">
        <f aca="false">IF(K31&lt;=9,K31,CHAR(K31-10+CODE("A")))</f>
        <v>E</v>
      </c>
      <c r="M31" s="37"/>
      <c r="N31" s="42"/>
      <c r="O31" s="43"/>
      <c r="P31" s="38"/>
      <c r="Q31" s="39"/>
      <c r="R31" s="40"/>
      <c r="S31" s="40"/>
    </row>
    <row r="32" customFormat="false" ht="15" hidden="true" customHeight="true" outlineLevel="1" collapsed="false">
      <c r="A32" s="66"/>
      <c r="B32" s="66"/>
      <c r="C32" s="67"/>
      <c r="D32" s="68"/>
      <c r="E32" s="69"/>
      <c r="F32" s="70"/>
      <c r="G32" s="68"/>
      <c r="H32" s="69"/>
      <c r="I32" s="69"/>
      <c r="J32" s="70"/>
      <c r="K32" s="49"/>
      <c r="L32" s="50"/>
      <c r="M32" s="71"/>
      <c r="N32" s="74"/>
      <c r="O32" s="100"/>
      <c r="P32" s="72"/>
      <c r="Q32" s="73"/>
    </row>
    <row r="33" customFormat="false" ht="15" hidden="true" customHeight="true" outlineLevel="1" collapsed="false">
      <c r="A33" s="66"/>
      <c r="B33" s="66"/>
      <c r="C33" s="67"/>
      <c r="D33" s="68"/>
      <c r="E33" s="100"/>
      <c r="F33" s="70"/>
      <c r="G33" s="68"/>
      <c r="H33" s="69"/>
      <c r="I33" s="69"/>
      <c r="J33" s="70"/>
      <c r="K33" s="49"/>
      <c r="L33" s="50"/>
      <c r="M33" s="71"/>
      <c r="N33" s="74"/>
      <c r="O33" s="100"/>
      <c r="P33" s="72"/>
      <c r="Q33" s="73"/>
    </row>
    <row r="34" customFormat="false" ht="15" hidden="true" customHeight="true" outlineLevel="1" collapsed="false">
      <c r="A34" s="85"/>
      <c r="B34" s="85"/>
      <c r="C34" s="86"/>
      <c r="D34" s="92"/>
      <c r="E34" s="88"/>
      <c r="F34" s="90"/>
      <c r="G34" s="87"/>
      <c r="H34" s="88"/>
      <c r="I34" s="88"/>
      <c r="J34" s="90"/>
      <c r="K34" s="49"/>
      <c r="L34" s="50"/>
      <c r="M34" s="91"/>
      <c r="N34" s="92"/>
      <c r="O34" s="88"/>
      <c r="P34" s="93"/>
      <c r="Q34" s="94"/>
    </row>
    <row r="35" customFormat="false" ht="14.25" hidden="false" customHeight="false" outlineLevel="0" collapsed="false">
      <c r="A35" s="30" t="s">
        <v>91</v>
      </c>
      <c r="B35" s="30"/>
      <c r="C35" s="31" t="s">
        <v>48</v>
      </c>
      <c r="D35" s="32" t="str">
        <f aca="false">IF(COUNTA(D36)&gt;0,"z","")</f>
        <v/>
      </c>
      <c r="E35" s="33" t="str">
        <f aca="false">IF(COUNTA(E36)&gt;0,"y","")</f>
        <v/>
      </c>
      <c r="F35" s="34" t="str">
        <f aca="false">IF(COUNTA(F36)&gt;0,"x","")</f>
        <v/>
      </c>
      <c r="G35" s="32" t="n">
        <v>0</v>
      </c>
      <c r="H35" s="33" t="n">
        <v>0</v>
      </c>
      <c r="I35" s="33" t="n">
        <v>0</v>
      </c>
      <c r="J35" s="34" t="n">
        <v>1</v>
      </c>
      <c r="K35" s="35" t="n">
        <f aca="false">SUM(G35*8,H35*4,I35*2,J35)</f>
        <v>1</v>
      </c>
      <c r="L35" s="36" t="n">
        <f aca="false">IF(K35&lt;=9,K35,CHAR(K35-10+CODE("A")))</f>
        <v>1</v>
      </c>
      <c r="M35" s="37"/>
      <c r="N35" s="42" t="n">
        <f aca="false">1+SUM(N36)</f>
        <v>5</v>
      </c>
      <c r="O35" s="43" t="n">
        <f aca="false">1+SUM(O36)</f>
        <v>5</v>
      </c>
      <c r="P35" s="38"/>
      <c r="Q35" s="39" t="s">
        <v>92</v>
      </c>
      <c r="R35" s="40" t="n">
        <v>3</v>
      </c>
      <c r="S35" s="40" t="n">
        <v>0</v>
      </c>
    </row>
    <row r="36" customFormat="false" ht="15" hidden="true" customHeight="true" outlineLevel="1" collapsed="false">
      <c r="A36" s="85"/>
      <c r="B36" s="85"/>
      <c r="C36" s="86"/>
      <c r="D36" s="87"/>
      <c r="E36" s="88"/>
      <c r="F36" s="89"/>
      <c r="G36" s="87"/>
      <c r="H36" s="88"/>
      <c r="I36" s="88"/>
      <c r="J36" s="90"/>
      <c r="K36" s="49"/>
      <c r="L36" s="50"/>
      <c r="M36" s="91"/>
      <c r="N36" s="92" t="n">
        <v>4</v>
      </c>
      <c r="O36" s="88" t="n">
        <v>4</v>
      </c>
      <c r="P36" s="93" t="s">
        <v>93</v>
      </c>
      <c r="Q36" s="94"/>
    </row>
    <row r="37" customFormat="false" ht="14.25" hidden="false" customHeight="false" outlineLevel="0" collapsed="false">
      <c r="A37" s="30" t="s">
        <v>94</v>
      </c>
      <c r="B37" s="30"/>
      <c r="C37" s="31" t="s">
        <v>48</v>
      </c>
      <c r="D37" s="32" t="str">
        <f aca="false">IF(COUNTA(D38:D42)&gt;0,"z","")</f>
        <v>z</v>
      </c>
      <c r="E37" s="33" t="str">
        <f aca="false">IF(COUNTA(E38:E42)&gt;0,"y","")</f>
        <v>y</v>
      </c>
      <c r="F37" s="34" t="str">
        <f aca="false">IF(COUNTA(F38:F42)&gt;0,"x","")</f>
        <v>x</v>
      </c>
      <c r="G37" s="32" t="n">
        <v>1</v>
      </c>
      <c r="H37" s="33" t="n">
        <v>0</v>
      </c>
      <c r="I37" s="33" t="n">
        <v>0</v>
      </c>
      <c r="J37" s="34" t="n">
        <v>1</v>
      </c>
      <c r="K37" s="35" t="n">
        <f aca="false">SUM(G37*8,H37*4,I37*2,J37)</f>
        <v>9</v>
      </c>
      <c r="L37" s="36" t="n">
        <f aca="false">IF(K37&lt;=9,K37,CHAR(K37-10+CODE("A")))</f>
        <v>9</v>
      </c>
      <c r="M37" s="41"/>
      <c r="N37" s="42" t="n">
        <v>5</v>
      </c>
      <c r="O37" s="43" t="s">
        <v>95</v>
      </c>
      <c r="P37" s="38"/>
      <c r="Q37" s="39" t="s">
        <v>92</v>
      </c>
      <c r="R37" s="40" t="n">
        <v>3</v>
      </c>
      <c r="S37" s="40" t="n">
        <v>4</v>
      </c>
    </row>
    <row r="38" customFormat="false" ht="15" hidden="true" customHeight="true" outlineLevel="1" collapsed="false">
      <c r="A38" s="66"/>
      <c r="B38" s="103"/>
      <c r="C38" s="67"/>
      <c r="D38" s="68"/>
      <c r="E38" s="100"/>
      <c r="F38" s="70" t="s">
        <v>50</v>
      </c>
      <c r="G38" s="68"/>
      <c r="H38" s="69"/>
      <c r="I38" s="69"/>
      <c r="J38" s="70"/>
      <c r="K38" s="49"/>
      <c r="L38" s="50"/>
      <c r="M38" s="71" t="s">
        <v>96</v>
      </c>
      <c r="N38" s="68"/>
      <c r="O38" s="100"/>
      <c r="P38" s="72"/>
      <c r="Q38" s="73"/>
    </row>
    <row r="39" customFormat="false" ht="15" hidden="true" customHeight="true" outlineLevel="1" collapsed="false">
      <c r="A39" s="44"/>
      <c r="B39" s="44"/>
      <c r="C39" s="45"/>
      <c r="D39" s="46"/>
      <c r="E39" s="53" t="s">
        <v>50</v>
      </c>
      <c r="F39" s="48"/>
      <c r="G39" s="46"/>
      <c r="H39" s="47"/>
      <c r="I39" s="47"/>
      <c r="J39" s="48"/>
      <c r="K39" s="49"/>
      <c r="L39" s="50"/>
      <c r="M39" s="51" t="s">
        <v>97</v>
      </c>
      <c r="N39" s="46"/>
      <c r="O39" s="53" t="s">
        <v>72</v>
      </c>
      <c r="P39" s="54" t="s">
        <v>98</v>
      </c>
      <c r="Q39" s="55"/>
    </row>
    <row r="40" customFormat="false" ht="15" hidden="true" customHeight="true" outlineLevel="1" collapsed="false">
      <c r="A40" s="44"/>
      <c r="B40" s="44" t="s">
        <v>99</v>
      </c>
      <c r="C40" s="45"/>
      <c r="D40" s="46"/>
      <c r="E40" s="53"/>
      <c r="F40" s="48"/>
      <c r="G40" s="46"/>
      <c r="H40" s="47"/>
      <c r="I40" s="47"/>
      <c r="J40" s="48"/>
      <c r="K40" s="49"/>
      <c r="L40" s="50"/>
      <c r="M40" s="51"/>
      <c r="N40" s="46"/>
      <c r="O40" s="53" t="n">
        <v>4</v>
      </c>
      <c r="P40" s="54" t="s">
        <v>100</v>
      </c>
      <c r="Q40" s="55"/>
    </row>
    <row r="41" customFormat="false" ht="15" hidden="true" customHeight="true" outlineLevel="1" collapsed="false">
      <c r="A41" s="44"/>
      <c r="B41" s="44" t="s">
        <v>101</v>
      </c>
      <c r="C41" s="45"/>
      <c r="D41" s="46"/>
      <c r="E41" s="53"/>
      <c r="F41" s="48"/>
      <c r="G41" s="46"/>
      <c r="H41" s="47"/>
      <c r="I41" s="47"/>
      <c r="J41" s="48"/>
      <c r="K41" s="49"/>
      <c r="L41" s="50"/>
      <c r="M41" s="51"/>
      <c r="N41" s="46"/>
      <c r="O41" s="53" t="n">
        <v>16</v>
      </c>
      <c r="P41" s="54" t="s">
        <v>102</v>
      </c>
      <c r="Q41" s="55"/>
    </row>
    <row r="42" customFormat="false" ht="15" hidden="true" customHeight="true" outlineLevel="1" collapsed="false">
      <c r="A42" s="85"/>
      <c r="B42" s="85"/>
      <c r="C42" s="86"/>
      <c r="D42" s="92" t="s">
        <v>50</v>
      </c>
      <c r="E42" s="88"/>
      <c r="F42" s="89"/>
      <c r="G42" s="87"/>
      <c r="H42" s="88"/>
      <c r="I42" s="88"/>
      <c r="J42" s="90"/>
      <c r="K42" s="49"/>
      <c r="L42" s="50"/>
      <c r="M42" s="91" t="s">
        <v>103</v>
      </c>
      <c r="N42" s="87"/>
      <c r="O42" s="88" t="n">
        <v>2</v>
      </c>
      <c r="P42" s="93" t="s">
        <v>104</v>
      </c>
      <c r="Q42" s="94"/>
    </row>
    <row r="43" customFormat="false" ht="14.25" hidden="false" customHeight="false" outlineLevel="0" collapsed="false">
      <c r="A43" s="41"/>
      <c r="B43" s="30"/>
      <c r="C43" s="31" t="s">
        <v>48</v>
      </c>
      <c r="D43" s="32" t="str">
        <f aca="false">IF(COUNTA(D44)&gt;0,"z","")</f>
        <v/>
      </c>
      <c r="E43" s="33" t="str">
        <f aca="false">IF(COUNTA(E44)&gt;0,"y","")</f>
        <v/>
      </c>
      <c r="F43" s="34" t="str">
        <f aca="false">IF(COUNTA(F44)&gt;0,"x","")</f>
        <v/>
      </c>
      <c r="G43" s="32" t="n">
        <v>0</v>
      </c>
      <c r="H43" s="33" t="n">
        <v>1</v>
      </c>
      <c r="I43" s="33" t="n">
        <v>0</v>
      </c>
      <c r="J43" s="34" t="n">
        <v>1</v>
      </c>
      <c r="K43" s="35" t="n">
        <f aca="false">SUM(G43*8,H43*4,I43*2,J43)</f>
        <v>5</v>
      </c>
      <c r="L43" s="36" t="n">
        <f aca="false">IF(K43&lt;=9,K43,CHAR(K43-10+CODE("A")))</f>
        <v>5</v>
      </c>
      <c r="M43" s="37"/>
      <c r="N43" s="42"/>
      <c r="O43" s="43"/>
      <c r="P43" s="104"/>
      <c r="Q43" s="39"/>
      <c r="R43" s="40"/>
      <c r="S43" s="40"/>
    </row>
    <row r="44" customFormat="false" ht="15" hidden="true" customHeight="true" outlineLevel="1" collapsed="false">
      <c r="A44" s="105"/>
      <c r="B44" s="85"/>
      <c r="C44" s="86"/>
      <c r="D44" s="92"/>
      <c r="E44" s="88"/>
      <c r="F44" s="89"/>
      <c r="G44" s="87"/>
      <c r="H44" s="88"/>
      <c r="I44" s="88"/>
      <c r="J44" s="90"/>
      <c r="K44" s="49"/>
      <c r="L44" s="50"/>
      <c r="M44" s="91"/>
      <c r="N44" s="87"/>
      <c r="O44" s="88"/>
      <c r="P44" s="106"/>
      <c r="Q44" s="94"/>
    </row>
    <row r="45" customFormat="false" ht="14.25" hidden="false" customHeight="false" outlineLevel="0" collapsed="false">
      <c r="A45" s="30"/>
      <c r="B45" s="30"/>
      <c r="C45" s="31" t="s">
        <v>48</v>
      </c>
      <c r="D45" s="32" t="str">
        <f aca="false">IF(COUNTA(D46:D50)&gt;0,"z","")</f>
        <v/>
      </c>
      <c r="E45" s="33" t="str">
        <f aca="false">IF(COUNTA(E46:E50)&gt;0,"y","")</f>
        <v/>
      </c>
      <c r="F45" s="34" t="str">
        <f aca="false">IF(COUNTA(F46:F50)&gt;0,"x","")</f>
        <v/>
      </c>
      <c r="G45" s="32" t="n">
        <v>1</v>
      </c>
      <c r="H45" s="33" t="n">
        <v>1</v>
      </c>
      <c r="I45" s="33" t="n">
        <v>0</v>
      </c>
      <c r="J45" s="34" t="n">
        <v>1</v>
      </c>
      <c r="K45" s="35" t="n">
        <f aca="false">SUM(G45*8,H45*4,I45*2,J45)</f>
        <v>13</v>
      </c>
      <c r="L45" s="36" t="str">
        <f aca="false">IF(K45&lt;=9,K45,CHAR(K45-10+CODE("A")))</f>
        <v>D</v>
      </c>
      <c r="M45" s="37"/>
      <c r="N45" s="42"/>
      <c r="O45" s="43"/>
      <c r="P45" s="38"/>
      <c r="Q45" s="39"/>
      <c r="R45" s="40"/>
      <c r="S45" s="40"/>
    </row>
    <row r="46" customFormat="false" ht="15" hidden="true" customHeight="true" outlineLevel="1" collapsed="false">
      <c r="A46" s="44"/>
      <c r="B46" s="44"/>
      <c r="C46" s="45"/>
      <c r="D46" s="46"/>
      <c r="E46" s="53"/>
      <c r="F46" s="48"/>
      <c r="G46" s="46"/>
      <c r="H46" s="47"/>
      <c r="I46" s="47"/>
      <c r="J46" s="48"/>
      <c r="K46" s="49"/>
      <c r="L46" s="50"/>
      <c r="M46" s="51"/>
      <c r="N46" s="46"/>
      <c r="O46" s="53"/>
      <c r="P46" s="54"/>
      <c r="Q46" s="55"/>
    </row>
    <row r="47" customFormat="false" ht="15" hidden="true" customHeight="true" outlineLevel="1" collapsed="false">
      <c r="A47" s="44"/>
      <c r="B47" s="44"/>
      <c r="C47" s="45"/>
      <c r="D47" s="46"/>
      <c r="E47" s="53"/>
      <c r="F47" s="48"/>
      <c r="G47" s="46"/>
      <c r="H47" s="47"/>
      <c r="I47" s="47"/>
      <c r="J47" s="48"/>
      <c r="K47" s="49"/>
      <c r="L47" s="50"/>
      <c r="M47" s="51"/>
      <c r="N47" s="46"/>
      <c r="O47" s="53"/>
      <c r="P47" s="54"/>
      <c r="Q47" s="55"/>
    </row>
    <row r="48" customFormat="false" ht="15" hidden="true" customHeight="true" outlineLevel="1" collapsed="false">
      <c r="A48" s="44"/>
      <c r="B48" s="44"/>
      <c r="C48" s="45"/>
      <c r="D48" s="46"/>
      <c r="E48" s="53"/>
      <c r="F48" s="48"/>
      <c r="G48" s="46"/>
      <c r="H48" s="47"/>
      <c r="I48" s="47"/>
      <c r="J48" s="48"/>
      <c r="K48" s="49"/>
      <c r="L48" s="50"/>
      <c r="M48" s="51"/>
      <c r="N48" s="46"/>
      <c r="O48" s="53"/>
      <c r="P48" s="54"/>
      <c r="Q48" s="55"/>
    </row>
    <row r="49" customFormat="false" ht="15" hidden="true" customHeight="true" outlineLevel="1" collapsed="false">
      <c r="A49" s="44"/>
      <c r="B49" s="44"/>
      <c r="C49" s="45"/>
      <c r="D49" s="46"/>
      <c r="E49" s="53"/>
      <c r="F49" s="48"/>
      <c r="G49" s="46"/>
      <c r="H49" s="47"/>
      <c r="I49" s="47"/>
      <c r="J49" s="48"/>
      <c r="K49" s="49"/>
      <c r="L49" s="50"/>
      <c r="M49" s="51"/>
      <c r="N49" s="46"/>
      <c r="O49" s="53"/>
      <c r="P49" s="54"/>
      <c r="Q49" s="55"/>
    </row>
    <row r="50" customFormat="false" ht="15" hidden="true" customHeight="true" outlineLevel="1" collapsed="false">
      <c r="A50" s="85"/>
      <c r="B50" s="85"/>
      <c r="C50" s="86"/>
      <c r="D50" s="92"/>
      <c r="E50" s="88"/>
      <c r="F50" s="90"/>
      <c r="G50" s="87"/>
      <c r="H50" s="88"/>
      <c r="I50" s="88"/>
      <c r="J50" s="90"/>
      <c r="K50" s="49"/>
      <c r="L50" s="50"/>
      <c r="M50" s="91"/>
      <c r="N50" s="87"/>
      <c r="O50" s="88"/>
      <c r="P50" s="93"/>
      <c r="Q50" s="94"/>
    </row>
    <row r="51" customFormat="false" ht="14.25" hidden="false" customHeight="false" outlineLevel="0" collapsed="false">
      <c r="A51" s="30" t="s">
        <v>105</v>
      </c>
      <c r="B51" s="30"/>
      <c r="C51" s="31" t="s">
        <v>48</v>
      </c>
      <c r="D51" s="32" t="str">
        <f aca="false">IF(COUNTA(D52:D59)&gt;0,"z","")</f>
        <v>z</v>
      </c>
      <c r="E51" s="33" t="str">
        <f aca="false">IF(COUNTA(E52:E59)&gt;0,"y","")</f>
        <v>y</v>
      </c>
      <c r="F51" s="34" t="str">
        <f aca="false">IF(COUNTA(F52:F59)&gt;0,"x","")</f>
        <v>x</v>
      </c>
      <c r="G51" s="32" t="n">
        <v>0</v>
      </c>
      <c r="H51" s="33" t="n">
        <v>0</v>
      </c>
      <c r="I51" s="33" t="n">
        <v>1</v>
      </c>
      <c r="J51" s="34" t="n">
        <v>1</v>
      </c>
      <c r="K51" s="35" t="n">
        <f aca="false">SUM(G51*8,H51*4,I51*2,J51)</f>
        <v>3</v>
      </c>
      <c r="L51" s="36" t="n">
        <f aca="false">IF(K51&lt;=9,K51,CHAR(K51-10+CODE("A")))</f>
        <v>3</v>
      </c>
      <c r="M51" s="37"/>
      <c r="N51" s="42" t="n">
        <v>9</v>
      </c>
      <c r="O51" s="43" t="n">
        <v>9</v>
      </c>
      <c r="P51" s="38"/>
      <c r="Q51" s="39" t="s">
        <v>49</v>
      </c>
      <c r="R51" s="40" t="n">
        <v>3</v>
      </c>
      <c r="S51" s="40" t="n">
        <v>4</v>
      </c>
    </row>
    <row r="52" customFormat="false" ht="15" hidden="true" customHeight="true" outlineLevel="1" collapsed="false">
      <c r="A52" s="66"/>
      <c r="B52" s="66"/>
      <c r="C52" s="67"/>
      <c r="D52" s="74"/>
      <c r="E52" s="100"/>
      <c r="F52" s="70" t="s">
        <v>50</v>
      </c>
      <c r="G52" s="68"/>
      <c r="H52" s="69"/>
      <c r="I52" s="69"/>
      <c r="J52" s="70"/>
      <c r="K52" s="49"/>
      <c r="L52" s="50"/>
      <c r="M52" s="71" t="s">
        <v>106</v>
      </c>
      <c r="N52" s="68"/>
      <c r="O52" s="69"/>
      <c r="P52" s="72"/>
      <c r="Q52" s="73"/>
    </row>
    <row r="53" customFormat="false" ht="15" hidden="true" customHeight="true" outlineLevel="1" collapsed="false">
      <c r="A53" s="66"/>
      <c r="B53" s="66"/>
      <c r="C53" s="67"/>
      <c r="D53" s="74"/>
      <c r="E53" s="100" t="s">
        <v>50</v>
      </c>
      <c r="F53" s="70"/>
      <c r="G53" s="68"/>
      <c r="H53" s="69"/>
      <c r="I53" s="69"/>
      <c r="J53" s="70"/>
      <c r="K53" s="49"/>
      <c r="L53" s="50"/>
      <c r="M53" s="71" t="s">
        <v>107</v>
      </c>
      <c r="N53" s="68"/>
      <c r="O53" s="69"/>
      <c r="P53" s="72"/>
      <c r="Q53" s="73"/>
    </row>
    <row r="54" customFormat="false" ht="15" hidden="true" customHeight="true" outlineLevel="1" collapsed="false">
      <c r="A54" s="66"/>
      <c r="B54" s="66" t="s">
        <v>108</v>
      </c>
      <c r="C54" s="67"/>
      <c r="D54" s="74" t="s">
        <v>50</v>
      </c>
      <c r="E54" s="100"/>
      <c r="F54" s="70"/>
      <c r="G54" s="68"/>
      <c r="H54" s="69"/>
      <c r="I54" s="69"/>
      <c r="J54" s="70"/>
      <c r="K54" s="49"/>
      <c r="L54" s="50"/>
      <c r="M54" s="71" t="s">
        <v>109</v>
      </c>
      <c r="N54" s="68"/>
      <c r="O54" s="69"/>
      <c r="P54" s="72"/>
      <c r="Q54" s="73"/>
    </row>
    <row r="55" customFormat="false" ht="15" hidden="true" customHeight="true" outlineLevel="1" collapsed="false">
      <c r="A55" s="66"/>
      <c r="B55" s="66" t="s">
        <v>110</v>
      </c>
      <c r="C55" s="67"/>
      <c r="D55" s="74" t="s">
        <v>50</v>
      </c>
      <c r="E55" s="100"/>
      <c r="F55" s="70"/>
      <c r="G55" s="68"/>
      <c r="H55" s="69"/>
      <c r="I55" s="69"/>
      <c r="J55" s="70"/>
      <c r="K55" s="49"/>
      <c r="L55" s="50"/>
      <c r="M55" s="71" t="s">
        <v>111</v>
      </c>
      <c r="N55" s="68"/>
      <c r="O55" s="69"/>
      <c r="P55" s="72"/>
      <c r="Q55" s="73"/>
    </row>
    <row r="56" customFormat="false" ht="15" hidden="true" customHeight="true" outlineLevel="1" collapsed="false">
      <c r="A56" s="66"/>
      <c r="B56" s="66" t="s">
        <v>106</v>
      </c>
      <c r="C56" s="67"/>
      <c r="D56" s="74" t="s">
        <v>50</v>
      </c>
      <c r="E56" s="100"/>
      <c r="F56" s="70"/>
      <c r="G56" s="68"/>
      <c r="H56" s="69"/>
      <c r="I56" s="69"/>
      <c r="J56" s="70"/>
      <c r="K56" s="49"/>
      <c r="L56" s="50"/>
      <c r="M56" s="71" t="s">
        <v>112</v>
      </c>
      <c r="N56" s="68"/>
      <c r="O56" s="69"/>
      <c r="P56" s="72"/>
      <c r="Q56" s="73"/>
    </row>
    <row r="57" customFormat="false" ht="15" hidden="true" customHeight="true" outlineLevel="1" collapsed="false">
      <c r="A57" s="66"/>
      <c r="B57" s="66" t="s">
        <v>113</v>
      </c>
      <c r="C57" s="67"/>
      <c r="D57" s="74"/>
      <c r="E57" s="69"/>
      <c r="F57" s="70"/>
      <c r="G57" s="68"/>
      <c r="H57" s="69"/>
      <c r="I57" s="69"/>
      <c r="J57" s="70"/>
      <c r="K57" s="49"/>
      <c r="L57" s="50"/>
      <c r="M57" s="71"/>
      <c r="N57" s="68" t="n">
        <v>4</v>
      </c>
      <c r="O57" s="69" t="n">
        <v>4</v>
      </c>
      <c r="P57" s="72" t="s">
        <v>114</v>
      </c>
      <c r="Q57" s="73"/>
    </row>
    <row r="58" customFormat="false" ht="15" hidden="true" customHeight="true" outlineLevel="1" collapsed="false">
      <c r="A58" s="66"/>
      <c r="B58" s="66" t="s">
        <v>115</v>
      </c>
      <c r="C58" s="67"/>
      <c r="D58" s="74"/>
      <c r="E58" s="100"/>
      <c r="F58" s="70"/>
      <c r="G58" s="68"/>
      <c r="H58" s="69"/>
      <c r="I58" s="69"/>
      <c r="J58" s="70"/>
      <c r="K58" s="49"/>
      <c r="L58" s="50"/>
      <c r="M58" s="71"/>
      <c r="N58" s="68" t="n">
        <v>4</v>
      </c>
      <c r="O58" s="69" t="n">
        <v>4</v>
      </c>
      <c r="P58" s="72" t="s">
        <v>116</v>
      </c>
      <c r="Q58" s="73"/>
    </row>
    <row r="59" customFormat="false" ht="15" hidden="true" customHeight="true" outlineLevel="1" collapsed="false">
      <c r="A59" s="85"/>
      <c r="B59" s="85" t="s">
        <v>117</v>
      </c>
      <c r="C59" s="86"/>
      <c r="D59" s="87"/>
      <c r="E59" s="88"/>
      <c r="F59" s="89"/>
      <c r="G59" s="87"/>
      <c r="H59" s="88"/>
      <c r="I59" s="88"/>
      <c r="J59" s="90"/>
      <c r="K59" s="49"/>
      <c r="L59" s="50"/>
      <c r="M59" s="91"/>
      <c r="N59" s="92" t="n">
        <v>4</v>
      </c>
      <c r="O59" s="88" t="n">
        <v>4</v>
      </c>
      <c r="P59" s="93" t="s">
        <v>118</v>
      </c>
      <c r="Q59" s="94"/>
    </row>
    <row r="60" customFormat="false" ht="14.25" hidden="false" customHeight="false" outlineLevel="0" collapsed="false">
      <c r="A60" s="30" t="s">
        <v>119</v>
      </c>
      <c r="B60" s="30"/>
      <c r="C60" s="31" t="s">
        <v>48</v>
      </c>
      <c r="D60" s="32" t="str">
        <f aca="false">IF(COUNTA(D61:D63)&gt;0,"z","")</f>
        <v/>
      </c>
      <c r="E60" s="33" t="str">
        <f aca="false">IF(COUNTA(E61:E63)&gt;0,"y","")</f>
        <v/>
      </c>
      <c r="F60" s="34" t="str">
        <f aca="false">IF(COUNTA(F61:F63)&gt;0,"x","")</f>
        <v/>
      </c>
      <c r="G60" s="32" t="n">
        <v>1</v>
      </c>
      <c r="H60" s="33" t="n">
        <v>0</v>
      </c>
      <c r="I60" s="33" t="n">
        <v>1</v>
      </c>
      <c r="J60" s="34" t="n">
        <v>1</v>
      </c>
      <c r="K60" s="35" t="n">
        <f aca="false">SUM(G60*8,H60*4,I60*2,J60)</f>
        <v>11</v>
      </c>
      <c r="L60" s="36" t="str">
        <f aca="false">IF(K60&lt;=9,K60,CHAR(K60-10+CODE("A")))</f>
        <v>B</v>
      </c>
      <c r="M60" s="37"/>
      <c r="N60" s="42" t="s">
        <v>68</v>
      </c>
      <c r="O60" s="43" t="s">
        <v>68</v>
      </c>
      <c r="P60" s="38"/>
      <c r="Q60" s="39" t="s">
        <v>60</v>
      </c>
      <c r="R60" s="40" t="n">
        <v>1</v>
      </c>
      <c r="S60" s="40" t="n">
        <v>0</v>
      </c>
    </row>
    <row r="61" customFormat="false" ht="15" hidden="true" customHeight="true" outlineLevel="1" collapsed="false">
      <c r="A61" s="66"/>
      <c r="B61" s="66"/>
      <c r="C61" s="67"/>
      <c r="D61" s="68"/>
      <c r="E61" s="69"/>
      <c r="F61" s="70"/>
      <c r="G61" s="68"/>
      <c r="H61" s="69"/>
      <c r="I61" s="69"/>
      <c r="J61" s="70"/>
      <c r="K61" s="49"/>
      <c r="L61" s="50"/>
      <c r="M61" s="71" t="s">
        <v>120</v>
      </c>
      <c r="N61" s="68"/>
      <c r="O61" s="69"/>
      <c r="P61" s="72"/>
      <c r="Q61" s="73"/>
    </row>
    <row r="62" customFormat="false" ht="15" hidden="true" customHeight="true" outlineLevel="1" collapsed="false">
      <c r="A62" s="66"/>
      <c r="B62" s="66"/>
      <c r="C62" s="67"/>
      <c r="D62" s="68"/>
      <c r="E62" s="69"/>
      <c r="F62" s="70"/>
      <c r="G62" s="68"/>
      <c r="H62" s="69"/>
      <c r="I62" s="69"/>
      <c r="J62" s="70"/>
      <c r="K62" s="49"/>
      <c r="L62" s="50"/>
      <c r="M62" s="71" t="s">
        <v>121</v>
      </c>
      <c r="N62" s="68"/>
      <c r="O62" s="69"/>
      <c r="P62" s="72"/>
      <c r="Q62" s="73"/>
    </row>
    <row r="63" customFormat="false" ht="15" hidden="true" customHeight="true" outlineLevel="1" collapsed="false">
      <c r="A63" s="85"/>
      <c r="B63" s="85"/>
      <c r="C63" s="86"/>
      <c r="D63" s="87"/>
      <c r="E63" s="88"/>
      <c r="F63" s="90"/>
      <c r="G63" s="87"/>
      <c r="H63" s="88"/>
      <c r="I63" s="88"/>
      <c r="J63" s="90"/>
      <c r="K63" s="49"/>
      <c r="L63" s="50"/>
      <c r="M63" s="91" t="s">
        <v>122</v>
      </c>
      <c r="N63" s="87"/>
      <c r="O63" s="88"/>
      <c r="P63" s="93" t="s">
        <v>123</v>
      </c>
      <c r="Q63" s="94"/>
    </row>
    <row r="64" customFormat="false" ht="14.25" hidden="false" customHeight="false" outlineLevel="0" collapsed="false">
      <c r="A64" s="30" t="s">
        <v>124</v>
      </c>
      <c r="B64" s="30"/>
      <c r="C64" s="31" t="s">
        <v>48</v>
      </c>
      <c r="D64" s="32" t="str">
        <f aca="false">IF(COUNTA(D65:D67)&gt;0,"z","")</f>
        <v/>
      </c>
      <c r="E64" s="33" t="str">
        <f aca="false">IF(COUNTA(E65:E67)&gt;0,"y","")</f>
        <v/>
      </c>
      <c r="F64" s="34" t="str">
        <f aca="false">IF(COUNTA(F65:F67)&gt;0,"x","")</f>
        <v/>
      </c>
      <c r="G64" s="32" t="n">
        <v>0</v>
      </c>
      <c r="H64" s="33" t="n">
        <v>1</v>
      </c>
      <c r="I64" s="33" t="n">
        <v>1</v>
      </c>
      <c r="J64" s="34" t="n">
        <v>1</v>
      </c>
      <c r="K64" s="35" t="n">
        <f aca="false">SUM(G64*8,H64*4,I64*2,J64)</f>
        <v>7</v>
      </c>
      <c r="L64" s="36" t="n">
        <f aca="false">IF(K64&lt;=9,K64,CHAR(K64-10+CODE("A")))</f>
        <v>7</v>
      </c>
      <c r="M64" s="41"/>
      <c r="N64" s="42" t="n">
        <f aca="false">1+SUM(N65:N67)</f>
        <v>5</v>
      </c>
      <c r="O64" s="43" t="n">
        <f aca="false">1+SUM(O65:O67)</f>
        <v>5</v>
      </c>
      <c r="P64" s="38"/>
      <c r="Q64" s="39" t="s">
        <v>60</v>
      </c>
      <c r="R64" s="40" t="n">
        <v>1</v>
      </c>
      <c r="S64" s="40" t="n">
        <v>1</v>
      </c>
    </row>
    <row r="65" customFormat="false" ht="15" hidden="true" customHeight="true" outlineLevel="1" collapsed="false">
      <c r="A65" s="66"/>
      <c r="B65" s="103"/>
      <c r="C65" s="67"/>
      <c r="D65" s="68"/>
      <c r="E65" s="69"/>
      <c r="F65" s="70"/>
      <c r="G65" s="68"/>
      <c r="H65" s="69"/>
      <c r="I65" s="69"/>
      <c r="J65" s="70"/>
      <c r="K65" s="49"/>
      <c r="L65" s="50"/>
      <c r="M65" s="71"/>
      <c r="N65" s="68" t="n">
        <v>4</v>
      </c>
      <c r="O65" s="69" t="n">
        <v>4</v>
      </c>
      <c r="P65" s="72" t="s">
        <v>125</v>
      </c>
      <c r="Q65" s="73"/>
    </row>
    <row r="66" customFormat="false" ht="15" hidden="true" customHeight="true" outlineLevel="1" collapsed="false">
      <c r="A66" s="66"/>
      <c r="B66" s="66"/>
      <c r="C66" s="67"/>
      <c r="D66" s="68"/>
      <c r="E66" s="69"/>
      <c r="F66" s="70"/>
      <c r="G66" s="68"/>
      <c r="H66" s="69"/>
      <c r="I66" s="69"/>
      <c r="J66" s="70"/>
      <c r="K66" s="49"/>
      <c r="L66" s="50"/>
      <c r="M66" s="71" t="s">
        <v>120</v>
      </c>
      <c r="N66" s="68"/>
      <c r="O66" s="69"/>
      <c r="P66" s="72"/>
      <c r="Q66" s="73"/>
    </row>
    <row r="67" customFormat="false" ht="15" hidden="true" customHeight="true" outlineLevel="1" collapsed="false">
      <c r="A67" s="66"/>
      <c r="B67" s="66"/>
      <c r="C67" s="67"/>
      <c r="D67" s="74"/>
      <c r="E67" s="100"/>
      <c r="F67" s="70"/>
      <c r="G67" s="68"/>
      <c r="H67" s="69"/>
      <c r="I67" s="69"/>
      <c r="J67" s="70"/>
      <c r="K67" s="49"/>
      <c r="L67" s="50"/>
      <c r="M67" s="71" t="s">
        <v>126</v>
      </c>
      <c r="N67" s="68"/>
      <c r="O67" s="69"/>
      <c r="P67" s="72"/>
      <c r="Q67" s="73"/>
    </row>
    <row r="68" customFormat="false" ht="14.25" hidden="false" customHeight="false" outlineLevel="0" collapsed="false">
      <c r="A68" s="30"/>
      <c r="B68" s="30"/>
      <c r="C68" s="31" t="s">
        <v>48</v>
      </c>
      <c r="D68" s="32" t="str">
        <f aca="false">IF(COUNTA(D69:D72)&gt;0,"z","")</f>
        <v/>
      </c>
      <c r="E68" s="33" t="str">
        <f aca="false">IF(COUNTA(E69:E72)&gt;0,"y","")</f>
        <v/>
      </c>
      <c r="F68" s="34" t="str">
        <f aca="false">IF(COUNTA(F69:F72)&gt;0,"x","")</f>
        <v/>
      </c>
      <c r="G68" s="32" t="n">
        <v>1</v>
      </c>
      <c r="H68" s="33" t="n">
        <v>1</v>
      </c>
      <c r="I68" s="33" t="n">
        <v>1</v>
      </c>
      <c r="J68" s="34" t="n">
        <v>1</v>
      </c>
      <c r="K68" s="35" t="n">
        <f aca="false">SUM(G68*8,H68*4,I68*2,J68)</f>
        <v>15</v>
      </c>
      <c r="L68" s="36" t="str">
        <f aca="false">IF(K68&lt;=9,K68,CHAR(K68-10+CODE("A")))</f>
        <v>F</v>
      </c>
      <c r="M68" s="41"/>
      <c r="N68" s="42"/>
      <c r="O68" s="43"/>
      <c r="P68" s="38"/>
      <c r="Q68" s="39"/>
      <c r="R68" s="40"/>
      <c r="S68" s="40"/>
    </row>
    <row r="69" customFormat="false" ht="15" hidden="true" customHeight="true" outlineLevel="1" collapsed="false">
      <c r="A69" s="66"/>
      <c r="B69" s="66"/>
      <c r="C69" s="67"/>
      <c r="D69" s="68"/>
      <c r="E69" s="69"/>
      <c r="F69" s="70"/>
      <c r="G69" s="68"/>
      <c r="H69" s="69"/>
      <c r="I69" s="69"/>
      <c r="J69" s="70"/>
      <c r="K69" s="49"/>
      <c r="L69" s="50"/>
      <c r="M69" s="71"/>
      <c r="N69" s="68"/>
      <c r="O69" s="69"/>
      <c r="P69" s="72"/>
      <c r="Q69" s="73"/>
    </row>
    <row r="70" customFormat="false" ht="15" hidden="true" customHeight="true" outlineLevel="1" collapsed="false">
      <c r="A70" s="66"/>
      <c r="B70" s="66"/>
      <c r="C70" s="67"/>
      <c r="D70" s="68"/>
      <c r="E70" s="69"/>
      <c r="F70" s="70"/>
      <c r="G70" s="68"/>
      <c r="H70" s="69"/>
      <c r="I70" s="69"/>
      <c r="J70" s="70"/>
      <c r="K70" s="49"/>
      <c r="L70" s="50"/>
      <c r="M70" s="71"/>
      <c r="N70" s="68"/>
      <c r="O70" s="69"/>
      <c r="P70" s="72"/>
      <c r="Q70" s="73"/>
    </row>
    <row r="71" customFormat="false" ht="15" hidden="true" customHeight="true" outlineLevel="1" collapsed="false">
      <c r="A71" s="66"/>
      <c r="B71" s="66"/>
      <c r="C71" s="67"/>
      <c r="D71" s="68"/>
      <c r="E71" s="69"/>
      <c r="F71" s="70"/>
      <c r="G71" s="68"/>
      <c r="H71" s="69"/>
      <c r="I71" s="69"/>
      <c r="J71" s="70"/>
      <c r="K71" s="49"/>
      <c r="L71" s="50"/>
      <c r="M71" s="71"/>
      <c r="N71" s="68"/>
      <c r="O71" s="69"/>
      <c r="P71" s="72"/>
      <c r="Q71" s="73"/>
    </row>
    <row r="72" customFormat="false" ht="15" hidden="true" customHeight="true" outlineLevel="1" collapsed="false">
      <c r="A72" s="85"/>
      <c r="B72" s="85"/>
      <c r="C72" s="86"/>
      <c r="D72" s="87"/>
      <c r="E72" s="88"/>
      <c r="F72" s="90"/>
      <c r="G72" s="87"/>
      <c r="H72" s="88"/>
      <c r="I72" s="88"/>
      <c r="J72" s="90"/>
      <c r="K72" s="49"/>
      <c r="L72" s="50"/>
      <c r="M72" s="91"/>
      <c r="N72" s="92"/>
      <c r="O72" s="88"/>
      <c r="P72" s="93"/>
      <c r="Q72" s="94"/>
    </row>
    <row r="74" customFormat="false" ht="14.25" hidden="false" customHeight="false" outlineLevel="0" collapsed="false">
      <c r="A74" s="1"/>
      <c r="D74" s="2"/>
      <c r="E74" s="2"/>
      <c r="L74" s="107"/>
      <c r="M74" s="3" t="s">
        <v>39</v>
      </c>
      <c r="O74" s="11"/>
      <c r="P74" s="3" t="s">
        <v>127</v>
      </c>
    </row>
    <row r="75" customFormat="false" ht="14.25" hidden="false" customHeight="false" outlineLevel="0" collapsed="false">
      <c r="A75" s="1"/>
      <c r="L75" s="13" t="n">
        <v>0</v>
      </c>
      <c r="M75" s="11" t="s">
        <v>128</v>
      </c>
      <c r="O75" s="13" t="n">
        <v>0</v>
      </c>
      <c r="P75" s="11" t="s">
        <v>129</v>
      </c>
    </row>
    <row r="76" customFormat="false" ht="14.25" hidden="false" customHeight="false" outlineLevel="0" collapsed="false">
      <c r="A76" s="1"/>
      <c r="L76" s="13" t="n">
        <v>1</v>
      </c>
      <c r="M76" s="11" t="s">
        <v>130</v>
      </c>
      <c r="O76" s="13" t="n">
        <v>1</v>
      </c>
      <c r="P76" s="11" t="s">
        <v>131</v>
      </c>
    </row>
    <row r="77" customFormat="false" ht="14.25" hidden="false" customHeight="false" outlineLevel="0" collapsed="false">
      <c r="A77" s="1"/>
      <c r="L77" s="13" t="n">
        <v>2</v>
      </c>
      <c r="M77" s="11" t="s">
        <v>132</v>
      </c>
      <c r="O77" s="13" t="n">
        <v>2</v>
      </c>
      <c r="P77" s="11" t="s">
        <v>133</v>
      </c>
    </row>
    <row r="78" customFormat="false" ht="14.25" hidden="false" customHeight="false" outlineLevel="0" collapsed="false">
      <c r="A78" s="1"/>
      <c r="L78" s="13" t="n">
        <v>3</v>
      </c>
      <c r="M78" s="11" t="s">
        <v>134</v>
      </c>
      <c r="O78" s="13" t="n">
        <v>3</v>
      </c>
      <c r="P78" s="11" t="s">
        <v>132</v>
      </c>
    </row>
    <row r="79" customFormat="false" ht="14.25" hidden="false" customHeight="false" outlineLevel="0" collapsed="false">
      <c r="L79" s="11"/>
      <c r="O79" s="13" t="n">
        <v>4</v>
      </c>
      <c r="P79" s="11" t="s">
        <v>134</v>
      </c>
    </row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4">
    <mergeCell ref="D1:F1"/>
    <mergeCell ref="G1:J1"/>
    <mergeCell ref="K1:L1"/>
    <mergeCell ref="N1:O1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" colorId="64" zoomScale="106" zoomScaleNormal="106" zoomScalePageLayoutView="100" workbookViewId="0">
      <selection pane="topLeft" activeCell="A1" activeCellId="0" sqref="A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1" width="14.86"/>
    <col collapsed="false" customWidth="true" hidden="false" outlineLevel="0" max="2" min="2" style="1" width="12.86"/>
    <col collapsed="false" customWidth="true" hidden="false" outlineLevel="0" max="3" min="3" style="2" width="11.31"/>
    <col collapsed="false" customWidth="true" hidden="false" outlineLevel="0" max="4" min="4" style="1" width="43.42"/>
  </cols>
  <sheetData>
    <row r="1" customFormat="false" ht="14.25" hidden="false" customHeight="true" outlineLevel="0" collapsed="false">
      <c r="A1" s="108" t="s">
        <v>135</v>
      </c>
      <c r="C1" s="1"/>
    </row>
    <row r="3" customFormat="false" ht="14.25" hidden="false" customHeight="true" outlineLevel="0" collapsed="false">
      <c r="A3" s="109" t="s">
        <v>136</v>
      </c>
    </row>
    <row r="4" customFormat="false" ht="14.25" hidden="false" customHeight="true" outlineLevel="0" collapsed="false">
      <c r="A4" s="109"/>
      <c r="B4" s="109" t="s">
        <v>137</v>
      </c>
    </row>
    <row r="5" customFormat="false" ht="14.25" hidden="false" customHeight="true" outlineLevel="0" collapsed="false">
      <c r="A5" s="109"/>
    </row>
    <row r="6" customFormat="false" ht="16" hidden="false" customHeight="false" outlineLevel="0" collapsed="false">
      <c r="A6" s="109" t="s">
        <v>138</v>
      </c>
    </row>
    <row r="7" customFormat="false" ht="14.25" hidden="false" customHeight="true" outlineLevel="0" collapsed="false">
      <c r="B7" s="109" t="s">
        <v>139</v>
      </c>
    </row>
    <row r="8" customFormat="false" ht="16" hidden="false" customHeight="false" outlineLevel="0" collapsed="false">
      <c r="B8" s="109" t="s">
        <v>140</v>
      </c>
    </row>
    <row r="9" customFormat="false" ht="16" hidden="false" customHeight="false" outlineLevel="0" collapsed="false">
      <c r="B9" s="109" t="s">
        <v>141</v>
      </c>
    </row>
    <row r="10" customFormat="false" ht="14.25" hidden="false" customHeight="false" outlineLevel="0" collapsed="false">
      <c r="B10" s="109"/>
    </row>
    <row r="11" customFormat="false" ht="16" hidden="false" customHeight="false" outlineLevel="0" collapsed="false">
      <c r="A11" s="109" t="s">
        <v>142</v>
      </c>
    </row>
    <row r="12" customFormat="false" ht="16" hidden="false" customHeight="false" outlineLevel="0" collapsed="false">
      <c r="B12" s="109" t="s">
        <v>143</v>
      </c>
    </row>
    <row r="13" customFormat="false" ht="16" hidden="false" customHeight="false" outlineLevel="0" collapsed="false">
      <c r="B13" s="109" t="s">
        <v>144</v>
      </c>
    </row>
    <row r="14" customFormat="false" ht="14.25" hidden="false" customHeight="true" outlineLevel="0" collapsed="false">
      <c r="B14" s="109" t="s">
        <v>145</v>
      </c>
    </row>
    <row r="17" customFormat="false" ht="14.25" hidden="false" customHeight="true" outlineLevel="0" collapsed="false">
      <c r="A17" s="1" t="s">
        <v>146</v>
      </c>
    </row>
    <row r="18" customFormat="false" ht="14.25" hidden="false" customHeight="true" outlineLevel="0" collapsed="false">
      <c r="A18" s="1" t="s">
        <v>147</v>
      </c>
    </row>
    <row r="19" customFormat="false" ht="14.25" hidden="false" customHeight="true" outlineLevel="0" collapsed="false">
      <c r="C19" s="1"/>
    </row>
    <row r="20" customFormat="false" ht="14.25" hidden="false" customHeight="true" outlineLevel="0" collapsed="false">
      <c r="A20" s="1" t="s">
        <v>148</v>
      </c>
      <c r="C20" s="1"/>
    </row>
    <row r="21" customFormat="false" ht="14.25" hidden="false" customHeight="true" outlineLevel="0" collapsed="false">
      <c r="A21" s="1" t="s">
        <v>149</v>
      </c>
      <c r="C21" s="1"/>
    </row>
    <row r="22" customFormat="false" ht="14.25" hidden="false" customHeight="true" outlineLevel="0" collapsed="false">
      <c r="C22" s="1"/>
    </row>
    <row r="23" customFormat="false" ht="14.25" hidden="false" customHeight="true" outlineLevel="0" collapsed="false">
      <c r="C23" s="1"/>
    </row>
    <row r="24" customFormat="false" ht="14.25" hidden="false" customHeight="false" outlineLevel="0" collapsed="false">
      <c r="A24" s="1" t="s">
        <v>150</v>
      </c>
      <c r="C24" s="1"/>
    </row>
    <row r="25" customFormat="false" ht="14.25" hidden="false" customHeight="true" outlineLevel="0" collapsed="false">
      <c r="A25" s="1" t="s">
        <v>151</v>
      </c>
      <c r="C25" s="1"/>
    </row>
    <row r="26" customFormat="false" ht="14.25" hidden="false" customHeight="false" outlineLevel="0" collapsed="false">
      <c r="A26" s="1" t="s">
        <v>152</v>
      </c>
      <c r="C26" s="1"/>
    </row>
    <row r="27" customFormat="false" ht="14.25" hidden="false" customHeight="false" outlineLevel="0" collapsed="false">
      <c r="C27" s="1"/>
    </row>
    <row r="28" customFormat="false" ht="14.25" hidden="false" customHeight="false" outlineLevel="0" collapsed="false">
      <c r="C28" s="1"/>
    </row>
    <row r="29" customFormat="false" ht="14.25" hidden="false" customHeight="false" outlineLevel="0" collapsed="false">
      <c r="C29" s="1"/>
    </row>
    <row r="30" customFormat="false" ht="14.25" hidden="false" customHeight="false" outlineLevel="0" collapsed="false">
      <c r="C30" s="1"/>
    </row>
    <row r="31" customFormat="false" ht="14.25" hidden="false" customHeight="true" outlineLevel="0" collapsed="false">
      <c r="C31" s="1"/>
    </row>
    <row r="32" customFormat="false" ht="14.25" hidden="false" customHeight="true" outlineLevel="0" collapsed="false">
      <c r="C32" s="1"/>
    </row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48576"/>
  <sheetViews>
    <sheetView showFormulas="false" showGridLines="true" showRowColHeaders="true" showZeros="true" rightToLeft="false" tabSelected="true" showOutlineSymbols="true" defaultGridColor="true" view="normal" topLeftCell="A1" colorId="64" zoomScale="106" zoomScaleNormal="106" zoomScalePageLayoutView="100" workbookViewId="0">
      <pane xSplit="0" ySplit="1" topLeftCell="A2" activePane="bottomLeft" state="frozen"/>
      <selection pane="topLeft" activeCell="A1" activeCellId="0" sqref="A1"/>
      <selection pane="bottomLeft" activeCell="L5" activeCellId="0" sqref="L5"/>
    </sheetView>
  </sheetViews>
  <sheetFormatPr defaultColWidth="11.53515625" defaultRowHeight="14.25" customHeight="false" zeroHeight="false" outlineLevelRow="1" outlineLevelCol="0"/>
  <cols>
    <col collapsed="false" customWidth="true" hidden="false" outlineLevel="0" max="1" min="1" style="110" width="15.51"/>
    <col collapsed="false" customWidth="true" hidden="false" outlineLevel="0" max="2" min="2" style="5" width="18.22"/>
    <col collapsed="false" customWidth="true" hidden="false" outlineLevel="0" max="3" min="3" style="111" width="3.76"/>
    <col collapsed="false" customWidth="true" hidden="false" outlineLevel="0" max="11" min="4" style="5" width="3.01"/>
    <col collapsed="false" customWidth="true" hidden="false" outlineLevel="0" max="12" min="12" style="5" width="18.22"/>
    <col collapsed="false" customWidth="true" hidden="false" outlineLevel="0" max="13" min="13" style="5" width="15.59"/>
    <col collapsed="false" customWidth="true" hidden="false" outlineLevel="0" max="14" min="14" style="5" width="24.92"/>
    <col collapsed="false" customWidth="true" hidden="false" outlineLevel="0" max="15" min="15" style="2" width="27.85"/>
    <col collapsed="false" customWidth="true" hidden="false" outlineLevel="0" max="16" min="16" style="5" width="76.29"/>
    <col collapsed="false" customWidth="true" hidden="false" outlineLevel="0" max="18" min="17" style="5" width="11.43"/>
    <col collapsed="false" customWidth="true" hidden="false" outlineLevel="0" max="19" min="19" style="5" width="71.29"/>
  </cols>
  <sheetData>
    <row r="1" customFormat="false" ht="14.25" hidden="false" customHeight="false" outlineLevel="0" collapsed="false">
      <c r="B1" s="110" t="s">
        <v>32</v>
      </c>
      <c r="C1" s="112" t="s">
        <v>42</v>
      </c>
      <c r="D1" s="113" t="n">
        <v>7</v>
      </c>
      <c r="E1" s="113" t="n">
        <v>6</v>
      </c>
      <c r="F1" s="113" t="n">
        <v>5</v>
      </c>
      <c r="G1" s="113" t="n">
        <v>4</v>
      </c>
      <c r="H1" s="113" t="n">
        <v>3</v>
      </c>
      <c r="I1" s="113" t="n">
        <v>2</v>
      </c>
      <c r="J1" s="113" t="n">
        <v>1</v>
      </c>
      <c r="K1" s="113" t="n">
        <v>0</v>
      </c>
      <c r="L1" s="110" t="s">
        <v>36</v>
      </c>
      <c r="M1" s="110" t="s">
        <v>1</v>
      </c>
      <c r="N1" s="113" t="s">
        <v>153</v>
      </c>
      <c r="O1" s="113" t="s">
        <v>154</v>
      </c>
      <c r="P1" s="110" t="s">
        <v>155</v>
      </c>
      <c r="Q1" s="110"/>
      <c r="R1" s="110"/>
      <c r="S1" s="110"/>
    </row>
    <row r="2" customFormat="false" ht="14.25" hidden="false" customHeight="false" outlineLevel="0" collapsed="false">
      <c r="B2" s="114"/>
      <c r="C2" s="115"/>
      <c r="D2" s="116"/>
      <c r="E2" s="117"/>
      <c r="F2" s="117"/>
      <c r="G2" s="118"/>
      <c r="H2" s="119"/>
      <c r="I2" s="117"/>
      <c r="J2" s="117"/>
      <c r="K2" s="120" t="s">
        <v>50</v>
      </c>
      <c r="L2" s="121" t="s">
        <v>156</v>
      </c>
      <c r="M2" s="121" t="s">
        <v>157</v>
      </c>
      <c r="N2" s="120" t="s">
        <v>158</v>
      </c>
      <c r="O2" s="120" t="s">
        <v>159</v>
      </c>
      <c r="P2" s="122"/>
    </row>
    <row r="3" customFormat="false" ht="14.25" hidden="false" customHeight="false" outlineLevel="0" collapsed="false">
      <c r="B3" s="123"/>
      <c r="C3" s="124"/>
      <c r="D3" s="125"/>
      <c r="E3" s="126"/>
      <c r="F3" s="126"/>
      <c r="G3" s="127"/>
      <c r="H3" s="128"/>
      <c r="I3" s="126"/>
      <c r="J3" s="13" t="s">
        <v>50</v>
      </c>
      <c r="K3" s="129"/>
      <c r="L3" s="130" t="s">
        <v>160</v>
      </c>
      <c r="M3" s="130" t="s">
        <v>161</v>
      </c>
      <c r="N3" s="129" t="s">
        <v>158</v>
      </c>
      <c r="O3" s="129" t="s">
        <v>159</v>
      </c>
      <c r="P3" s="131"/>
    </row>
    <row r="4" customFormat="false" ht="14.25" hidden="false" customHeight="false" outlineLevel="0" collapsed="false">
      <c r="B4" s="132"/>
      <c r="C4" s="133"/>
      <c r="D4" s="134"/>
      <c r="E4" s="107"/>
      <c r="F4" s="107"/>
      <c r="G4" s="135"/>
      <c r="H4" s="136"/>
      <c r="I4" s="107" t="s">
        <v>50</v>
      </c>
      <c r="J4" s="107"/>
      <c r="K4" s="129"/>
      <c r="L4" s="130" t="s">
        <v>162</v>
      </c>
      <c r="M4" s="130" t="s">
        <v>163</v>
      </c>
      <c r="N4" s="129" t="n">
        <v>4</v>
      </c>
      <c r="O4" s="129" t="s">
        <v>164</v>
      </c>
      <c r="P4" s="131"/>
    </row>
    <row r="5" customFormat="false" ht="14.25" hidden="false" customHeight="false" outlineLevel="0" collapsed="false">
      <c r="B5" s="137" t="s">
        <v>165</v>
      </c>
      <c r="C5" s="138"/>
      <c r="D5" s="139"/>
      <c r="E5" s="140"/>
      <c r="F5" s="140"/>
      <c r="G5" s="141"/>
      <c r="H5" s="142" t="s">
        <v>50</v>
      </c>
      <c r="I5" s="140"/>
      <c r="J5" s="140"/>
      <c r="K5" s="143"/>
      <c r="L5" s="144" t="s">
        <v>166</v>
      </c>
      <c r="M5" s="144"/>
      <c r="N5" s="143"/>
      <c r="O5" s="143"/>
      <c r="P5" s="145"/>
    </row>
    <row r="6" customFormat="false" ht="14.25" hidden="false" customHeight="false" outlineLevel="0" collapsed="false">
      <c r="A6" s="146" t="s">
        <v>1</v>
      </c>
      <c r="B6" s="147" t="s">
        <v>167</v>
      </c>
      <c r="C6" s="148"/>
      <c r="D6" s="149"/>
      <c r="E6" s="150"/>
      <c r="F6" s="151"/>
      <c r="G6" s="152"/>
      <c r="H6" s="153"/>
      <c r="I6" s="151"/>
      <c r="J6" s="150"/>
      <c r="K6" s="154"/>
      <c r="L6" s="155"/>
      <c r="M6" s="155"/>
      <c r="N6" s="154"/>
      <c r="O6" s="154"/>
      <c r="P6" s="156"/>
      <c r="Q6" s="157"/>
      <c r="R6" s="157"/>
      <c r="S6" s="157"/>
    </row>
    <row r="7" customFormat="false" ht="14.25" hidden="false" customHeight="false" outlineLevel="1" collapsed="false">
      <c r="B7" s="123"/>
      <c r="C7" s="124"/>
      <c r="D7" s="125"/>
      <c r="E7" s="107"/>
      <c r="F7" s="126" t="n">
        <v>0</v>
      </c>
      <c r="G7" s="127" t="n">
        <v>0</v>
      </c>
      <c r="H7" s="128"/>
      <c r="I7" s="126"/>
      <c r="J7" s="107"/>
      <c r="K7" s="129"/>
      <c r="L7" s="130" t="s">
        <v>168</v>
      </c>
      <c r="M7" s="130"/>
      <c r="N7" s="129"/>
      <c r="O7" s="129"/>
      <c r="P7" s="131"/>
    </row>
    <row r="8" customFormat="false" ht="14.25" hidden="false" customHeight="false" outlineLevel="1" collapsed="false">
      <c r="B8" s="123"/>
      <c r="C8" s="124"/>
      <c r="D8" s="125"/>
      <c r="E8" s="107"/>
      <c r="F8" s="126" t="n">
        <v>0</v>
      </c>
      <c r="G8" s="127" t="n">
        <v>1</v>
      </c>
      <c r="H8" s="128"/>
      <c r="I8" s="126"/>
      <c r="J8" s="107"/>
      <c r="K8" s="129"/>
      <c r="L8" s="130" t="s">
        <v>169</v>
      </c>
      <c r="M8" s="130"/>
      <c r="N8" s="129"/>
      <c r="O8" s="129"/>
      <c r="P8" s="131"/>
    </row>
    <row r="9" customFormat="false" ht="14.25" hidden="false" customHeight="false" outlineLevel="1" collapsed="false">
      <c r="B9" s="123"/>
      <c r="C9" s="124"/>
      <c r="D9" s="125"/>
      <c r="E9" s="107"/>
      <c r="F9" s="126" t="n">
        <v>1</v>
      </c>
      <c r="G9" s="127" t="n">
        <v>0</v>
      </c>
      <c r="H9" s="128"/>
      <c r="I9" s="126"/>
      <c r="J9" s="107"/>
      <c r="K9" s="129"/>
      <c r="L9" s="130" t="s">
        <v>170</v>
      </c>
      <c r="M9" s="130"/>
      <c r="N9" s="129"/>
      <c r="O9" s="129"/>
      <c r="P9" s="131"/>
    </row>
    <row r="10" customFormat="false" ht="14.25" hidden="false" customHeight="false" outlineLevel="1" collapsed="false">
      <c r="B10" s="123"/>
      <c r="C10" s="124"/>
      <c r="D10" s="125"/>
      <c r="E10" s="107"/>
      <c r="F10" s="126" t="n">
        <v>1</v>
      </c>
      <c r="G10" s="127" t="n">
        <v>1</v>
      </c>
      <c r="H10" s="128"/>
      <c r="I10" s="126"/>
      <c r="J10" s="107"/>
      <c r="K10" s="129"/>
      <c r="L10" s="130" t="s">
        <v>171</v>
      </c>
      <c r="M10" s="130"/>
      <c r="N10" s="129"/>
      <c r="O10" s="129"/>
      <c r="P10" s="131"/>
    </row>
    <row r="11" customFormat="false" ht="14.25" hidden="false" customHeight="false" outlineLevel="0" collapsed="false">
      <c r="A11" s="146" t="s">
        <v>172</v>
      </c>
      <c r="B11" s="158" t="s">
        <v>173</v>
      </c>
      <c r="C11" s="159"/>
      <c r="D11" s="160"/>
      <c r="E11" s="161"/>
      <c r="F11" s="162"/>
      <c r="G11" s="163"/>
      <c r="H11" s="164"/>
      <c r="I11" s="162"/>
      <c r="J11" s="161"/>
      <c r="K11" s="165"/>
      <c r="L11" s="166"/>
      <c r="M11" s="166"/>
      <c r="N11" s="165"/>
      <c r="O11" s="165"/>
      <c r="P11" s="167"/>
      <c r="Q11" s="157"/>
      <c r="R11" s="157"/>
      <c r="S11" s="157"/>
    </row>
    <row r="12" customFormat="false" ht="14.25" hidden="false" customHeight="false" outlineLevel="1" collapsed="false">
      <c r="B12" s="123"/>
      <c r="C12" s="124"/>
      <c r="D12" s="125"/>
      <c r="E12" s="107"/>
      <c r="F12" s="126"/>
      <c r="G12" s="127"/>
      <c r="H12" s="128"/>
      <c r="I12" s="126"/>
      <c r="J12" s="107"/>
      <c r="K12" s="129"/>
      <c r="L12" s="130"/>
      <c r="M12" s="130" t="s">
        <v>174</v>
      </c>
      <c r="N12" s="129" t="n">
        <v>1</v>
      </c>
      <c r="O12" s="129" t="s">
        <v>174</v>
      </c>
      <c r="P12" s="131" t="s">
        <v>175</v>
      </c>
    </row>
    <row r="13" customFormat="false" ht="14.25" hidden="false" customHeight="false" outlineLevel="1" collapsed="false">
      <c r="B13" s="123"/>
      <c r="C13" s="124"/>
      <c r="D13" s="125"/>
      <c r="E13" s="107"/>
      <c r="F13" s="126"/>
      <c r="G13" s="127"/>
      <c r="H13" s="128"/>
      <c r="I13" s="126"/>
      <c r="J13" s="107"/>
      <c r="K13" s="129"/>
      <c r="L13" s="130"/>
      <c r="M13" s="130"/>
      <c r="N13" s="129"/>
      <c r="O13" s="129"/>
      <c r="P13" s="131"/>
    </row>
    <row r="14" customFormat="false" ht="14.25" hidden="false" customHeight="false" outlineLevel="0" collapsed="false">
      <c r="A14" s="146" t="s">
        <v>176</v>
      </c>
      <c r="B14" s="158" t="s">
        <v>177</v>
      </c>
      <c r="C14" s="159"/>
      <c r="D14" s="160"/>
      <c r="E14" s="161"/>
      <c r="F14" s="162"/>
      <c r="G14" s="163"/>
      <c r="H14" s="164"/>
      <c r="I14" s="162"/>
      <c r="J14" s="161"/>
      <c r="K14" s="165"/>
      <c r="L14" s="166"/>
      <c r="M14" s="166"/>
      <c r="N14" s="165"/>
      <c r="O14" s="165"/>
      <c r="P14" s="167"/>
      <c r="Q14" s="157"/>
      <c r="R14" s="157"/>
      <c r="S14" s="157"/>
    </row>
    <row r="15" customFormat="false" ht="14.25" hidden="false" customHeight="false" outlineLevel="1" collapsed="false">
      <c r="B15" s="123"/>
      <c r="C15" s="124"/>
      <c r="D15" s="125"/>
      <c r="E15" s="13" t="s">
        <v>50</v>
      </c>
      <c r="F15" s="126"/>
      <c r="G15" s="127"/>
      <c r="H15" s="128"/>
      <c r="I15" s="126"/>
      <c r="J15" s="13"/>
      <c r="K15" s="129"/>
      <c r="L15" s="130" t="s">
        <v>178</v>
      </c>
      <c r="M15" s="130" t="s">
        <v>179</v>
      </c>
      <c r="N15" s="129" t="s">
        <v>180</v>
      </c>
      <c r="O15" s="129" t="s">
        <v>181</v>
      </c>
      <c r="P15" s="168" t="s">
        <v>182</v>
      </c>
    </row>
    <row r="16" customFormat="false" ht="14.25" hidden="false" customHeight="false" outlineLevel="1" collapsed="false">
      <c r="B16" s="123"/>
      <c r="C16" s="124"/>
      <c r="D16" s="125"/>
      <c r="E16" s="13"/>
      <c r="F16" s="126"/>
      <c r="G16" s="127"/>
      <c r="H16" s="128"/>
      <c r="I16" s="126"/>
      <c r="J16" s="13"/>
      <c r="K16" s="129"/>
      <c r="L16" s="130"/>
      <c r="M16" s="130" t="s">
        <v>183</v>
      </c>
      <c r="N16" s="129" t="n">
        <v>4</v>
      </c>
      <c r="O16" s="129" t="s">
        <v>164</v>
      </c>
      <c r="P16" s="168" t="s">
        <v>184</v>
      </c>
    </row>
    <row r="17" customFormat="false" ht="14.25" hidden="false" customHeight="false" outlineLevel="1" collapsed="false">
      <c r="B17" s="123" t="s">
        <v>178</v>
      </c>
      <c r="C17" s="124"/>
      <c r="D17" s="125"/>
      <c r="E17" s="13"/>
      <c r="F17" s="126"/>
      <c r="G17" s="127"/>
      <c r="H17" s="128"/>
      <c r="I17" s="126"/>
      <c r="J17" s="13"/>
      <c r="K17" s="129"/>
      <c r="L17" s="130"/>
      <c r="M17" s="130" t="s">
        <v>185</v>
      </c>
      <c r="N17" s="129" t="s">
        <v>158</v>
      </c>
      <c r="O17" s="129" t="s">
        <v>186</v>
      </c>
      <c r="P17" s="168" t="s">
        <v>187</v>
      </c>
    </row>
    <row r="18" customFormat="false" ht="14.25" hidden="false" customHeight="false" outlineLevel="1" collapsed="false">
      <c r="B18" s="137" t="s">
        <v>188</v>
      </c>
      <c r="C18" s="138"/>
      <c r="D18" s="169"/>
      <c r="E18" s="140"/>
      <c r="F18" s="170"/>
      <c r="G18" s="171"/>
      <c r="H18" s="172"/>
      <c r="I18" s="170"/>
      <c r="J18" s="140"/>
      <c r="K18" s="143"/>
      <c r="L18" s="144"/>
      <c r="M18" s="144" t="s">
        <v>185</v>
      </c>
      <c r="N18" s="143" t="s">
        <v>158</v>
      </c>
      <c r="O18" s="143" t="s">
        <v>186</v>
      </c>
      <c r="P18" s="173" t="s">
        <v>189</v>
      </c>
    </row>
    <row r="19" customFormat="false" ht="14.25" hidden="false" customHeight="false" outlineLevel="0" collapsed="false">
      <c r="A19" s="146" t="s">
        <v>190</v>
      </c>
      <c r="B19" s="158" t="s">
        <v>191</v>
      </c>
      <c r="C19" s="159"/>
      <c r="D19" s="160"/>
      <c r="E19" s="161"/>
      <c r="F19" s="162"/>
      <c r="G19" s="163"/>
      <c r="H19" s="164"/>
      <c r="I19" s="162"/>
      <c r="J19" s="161"/>
      <c r="K19" s="165"/>
      <c r="L19" s="166"/>
      <c r="M19" s="166"/>
      <c r="N19" s="165"/>
      <c r="O19" s="165"/>
      <c r="P19" s="167"/>
      <c r="Q19" s="157"/>
      <c r="R19" s="157"/>
      <c r="S19" s="157"/>
    </row>
    <row r="20" customFormat="false" ht="14.25" hidden="false" customHeight="false" outlineLevel="1" collapsed="false">
      <c r="B20" s="123"/>
      <c r="C20" s="124"/>
      <c r="D20" s="125"/>
      <c r="E20" s="126"/>
      <c r="F20" s="126"/>
      <c r="G20" s="174"/>
      <c r="H20" s="128"/>
      <c r="I20" s="126"/>
      <c r="J20" s="13"/>
      <c r="K20" s="129"/>
      <c r="L20" s="130"/>
      <c r="M20" s="130" t="s">
        <v>192</v>
      </c>
      <c r="N20" s="129" t="n">
        <v>4</v>
      </c>
      <c r="O20" s="129" t="s">
        <v>164</v>
      </c>
      <c r="P20" s="168" t="s">
        <v>193</v>
      </c>
    </row>
    <row r="21" customFormat="false" ht="14.25" hidden="false" customHeight="false" outlineLevel="1" collapsed="false">
      <c r="B21" s="123"/>
      <c r="C21" s="124"/>
      <c r="D21" s="125"/>
      <c r="E21" s="126"/>
      <c r="F21" s="126"/>
      <c r="G21" s="174"/>
      <c r="H21" s="128"/>
      <c r="I21" s="126"/>
      <c r="J21" s="13"/>
      <c r="K21" s="129"/>
      <c r="L21" s="130"/>
      <c r="M21" s="130" t="s">
        <v>185</v>
      </c>
      <c r="N21" s="129" t="s">
        <v>158</v>
      </c>
      <c r="O21" s="129" t="s">
        <v>186</v>
      </c>
      <c r="P21" s="168" t="s">
        <v>189</v>
      </c>
    </row>
    <row r="22" customFormat="false" ht="14.25" hidden="false" customHeight="false" outlineLevel="0" collapsed="false">
      <c r="A22" s="146" t="s">
        <v>194</v>
      </c>
      <c r="B22" s="158" t="s">
        <v>195</v>
      </c>
      <c r="C22" s="159"/>
      <c r="D22" s="160"/>
      <c r="E22" s="161"/>
      <c r="F22" s="162"/>
      <c r="G22" s="163"/>
      <c r="H22" s="164"/>
      <c r="I22" s="162"/>
      <c r="J22" s="161"/>
      <c r="K22" s="165"/>
      <c r="L22" s="166"/>
      <c r="M22" s="166"/>
      <c r="N22" s="165"/>
      <c r="O22" s="165"/>
      <c r="P22" s="167"/>
      <c r="Q22" s="157"/>
      <c r="R22" s="157"/>
      <c r="S22" s="157"/>
    </row>
    <row r="23" customFormat="false" ht="14.25" hidden="false" customHeight="false" outlineLevel="1" collapsed="false">
      <c r="B23" s="123"/>
      <c r="C23" s="124"/>
      <c r="D23" s="125"/>
      <c r="E23" s="107" t="s">
        <v>50</v>
      </c>
      <c r="F23" s="126"/>
      <c r="G23" s="127"/>
      <c r="H23" s="128"/>
      <c r="I23" s="126"/>
      <c r="J23" s="107"/>
      <c r="K23" s="129"/>
      <c r="L23" s="130" t="s">
        <v>196</v>
      </c>
      <c r="M23" s="130"/>
      <c r="N23" s="129"/>
      <c r="O23" s="129"/>
      <c r="P23" s="131"/>
    </row>
    <row r="24" customFormat="false" ht="14.25" hidden="false" customHeight="false" outlineLevel="1" collapsed="false">
      <c r="B24" s="175"/>
      <c r="C24" s="176"/>
      <c r="D24" s="169"/>
      <c r="E24" s="140"/>
      <c r="F24" s="170"/>
      <c r="G24" s="171"/>
      <c r="H24" s="172"/>
      <c r="I24" s="170"/>
      <c r="J24" s="140"/>
      <c r="K24" s="143"/>
      <c r="L24" s="144"/>
      <c r="M24" s="144" t="s">
        <v>174</v>
      </c>
      <c r="N24" s="143" t="s">
        <v>158</v>
      </c>
      <c r="O24" s="143" t="s">
        <v>174</v>
      </c>
      <c r="P24" s="177" t="s">
        <v>175</v>
      </c>
    </row>
    <row r="25" customFormat="false" ht="14.25" hidden="false" customHeight="false" outlineLevel="0" collapsed="false">
      <c r="A25" s="146" t="s">
        <v>197</v>
      </c>
      <c r="B25" s="158" t="s">
        <v>165</v>
      </c>
      <c r="C25" s="159"/>
      <c r="D25" s="178"/>
      <c r="E25" s="161"/>
      <c r="F25" s="161"/>
      <c r="G25" s="179"/>
      <c r="H25" s="180"/>
      <c r="I25" s="161"/>
      <c r="J25" s="161"/>
      <c r="K25" s="165"/>
      <c r="L25" s="166"/>
      <c r="M25" s="166"/>
      <c r="N25" s="165"/>
      <c r="O25" s="165"/>
      <c r="P25" s="167"/>
      <c r="Q25" s="157"/>
      <c r="R25" s="157"/>
      <c r="S25" s="157"/>
    </row>
    <row r="26" customFormat="false" ht="14.25" hidden="false" customHeight="false" outlineLevel="1" collapsed="false">
      <c r="B26" s="123"/>
      <c r="C26" s="124"/>
      <c r="D26" s="125"/>
      <c r="E26" s="126"/>
      <c r="F26" s="126"/>
      <c r="G26" s="174" t="s">
        <v>50</v>
      </c>
      <c r="H26" s="128"/>
      <c r="I26" s="126"/>
      <c r="J26" s="13"/>
      <c r="K26" s="129"/>
      <c r="L26" s="130" t="s">
        <v>198</v>
      </c>
      <c r="M26" s="130"/>
      <c r="N26" s="129"/>
      <c r="O26" s="129"/>
      <c r="P26" s="131"/>
    </row>
    <row r="27" customFormat="false" ht="14.25" hidden="false" customHeight="false" outlineLevel="1" collapsed="false">
      <c r="B27" s="123"/>
      <c r="C27" s="124"/>
      <c r="D27" s="125"/>
      <c r="E27" s="126"/>
      <c r="F27" s="126"/>
      <c r="G27" s="174"/>
      <c r="H27" s="128"/>
      <c r="I27" s="126"/>
      <c r="J27" s="13"/>
      <c r="K27" s="129"/>
      <c r="L27" s="130"/>
      <c r="M27" s="130"/>
      <c r="N27" s="129"/>
      <c r="O27" s="129"/>
      <c r="P27" s="131"/>
    </row>
    <row r="28" customFormat="false" ht="14.25" hidden="false" customHeight="false" outlineLevel="0" collapsed="false">
      <c r="A28" s="146" t="s">
        <v>124</v>
      </c>
      <c r="B28" s="158" t="s">
        <v>199</v>
      </c>
      <c r="C28" s="159"/>
      <c r="D28" s="160"/>
      <c r="E28" s="162"/>
      <c r="F28" s="162"/>
      <c r="G28" s="179"/>
      <c r="H28" s="164"/>
      <c r="I28" s="162"/>
      <c r="J28" s="161"/>
      <c r="K28" s="165"/>
      <c r="L28" s="166"/>
      <c r="M28" s="166"/>
      <c r="N28" s="165"/>
      <c r="O28" s="165"/>
      <c r="P28" s="167"/>
      <c r="Q28" s="157"/>
      <c r="R28" s="157"/>
      <c r="S28" s="157"/>
    </row>
    <row r="29" customFormat="false" ht="14.25" hidden="false" customHeight="false" outlineLevel="1" collapsed="false">
      <c r="B29" s="137"/>
      <c r="C29" s="138"/>
      <c r="D29" s="125"/>
      <c r="E29" s="126"/>
      <c r="F29" s="126"/>
      <c r="G29" s="174"/>
      <c r="H29" s="128"/>
      <c r="I29" s="126"/>
      <c r="J29" s="13"/>
      <c r="K29" s="129"/>
      <c r="L29" s="130"/>
      <c r="M29" s="144"/>
      <c r="N29" s="143"/>
      <c r="O29" s="143"/>
      <c r="P29" s="131"/>
    </row>
    <row r="30" customFormat="false" ht="14.25" hidden="false" customHeight="false" outlineLevel="0" collapsed="false">
      <c r="A30" s="146" t="s">
        <v>81</v>
      </c>
      <c r="B30" s="158" t="s">
        <v>200</v>
      </c>
      <c r="C30" s="159"/>
      <c r="D30" s="160"/>
      <c r="E30" s="162"/>
      <c r="F30" s="162"/>
      <c r="G30" s="179"/>
      <c r="H30" s="164"/>
      <c r="I30" s="162"/>
      <c r="J30" s="161"/>
      <c r="K30" s="165"/>
      <c r="L30" s="166"/>
      <c r="M30" s="166"/>
      <c r="N30" s="165"/>
      <c r="O30" s="165"/>
      <c r="P30" s="167"/>
      <c r="Q30" s="157"/>
      <c r="R30" s="157"/>
      <c r="S30" s="157"/>
    </row>
    <row r="31" customFormat="false" ht="14.25" hidden="false" customHeight="false" outlineLevel="1" collapsed="false">
      <c r="B31" s="123"/>
      <c r="C31" s="124"/>
      <c r="D31" s="125"/>
      <c r="E31" s="126"/>
      <c r="F31" s="126"/>
      <c r="G31" s="174"/>
      <c r="H31" s="128"/>
      <c r="I31" s="126"/>
      <c r="J31" s="13"/>
      <c r="K31" s="129"/>
      <c r="L31" s="130"/>
      <c r="M31" s="130" t="s">
        <v>76</v>
      </c>
      <c r="N31" s="129" t="n">
        <v>4</v>
      </c>
      <c r="O31" s="129" t="s">
        <v>164</v>
      </c>
      <c r="P31" s="131"/>
    </row>
    <row r="32" customFormat="false" ht="14.25" hidden="false" customHeight="false" outlineLevel="1" collapsed="false">
      <c r="B32" s="123"/>
      <c r="C32" s="124"/>
      <c r="D32" s="125"/>
      <c r="E32" s="126"/>
      <c r="F32" s="13" t="s">
        <v>50</v>
      </c>
      <c r="G32" s="127"/>
      <c r="H32" s="128"/>
      <c r="I32" s="126"/>
      <c r="J32" s="13"/>
      <c r="K32" s="129"/>
      <c r="L32" s="130" t="s">
        <v>201</v>
      </c>
      <c r="M32" s="130" t="s">
        <v>202</v>
      </c>
      <c r="N32" s="129" t="n">
        <v>4</v>
      </c>
      <c r="O32" s="129" t="s">
        <v>203</v>
      </c>
      <c r="P32" s="131" t="s">
        <v>204</v>
      </c>
    </row>
    <row r="33" customFormat="false" ht="14.25" hidden="false" customHeight="false" outlineLevel="1" collapsed="false">
      <c r="B33" s="123" t="s">
        <v>201</v>
      </c>
      <c r="C33" s="124"/>
      <c r="D33" s="125"/>
      <c r="E33" s="126"/>
      <c r="F33" s="13"/>
      <c r="G33" s="127"/>
      <c r="H33" s="128"/>
      <c r="I33" s="126"/>
      <c r="J33" s="13"/>
      <c r="K33" s="129"/>
      <c r="L33" s="130"/>
      <c r="M33" s="130" t="s">
        <v>205</v>
      </c>
      <c r="N33" s="129" t="s">
        <v>158</v>
      </c>
      <c r="O33" s="129" t="s">
        <v>206</v>
      </c>
      <c r="P33" s="131"/>
    </row>
    <row r="34" customFormat="false" ht="14.25" hidden="false" customHeight="false" outlineLevel="1" collapsed="false">
      <c r="B34" s="137"/>
      <c r="C34" s="138"/>
      <c r="D34" s="169"/>
      <c r="E34" s="140" t="s">
        <v>50</v>
      </c>
      <c r="F34" s="170"/>
      <c r="G34" s="171"/>
      <c r="H34" s="172"/>
      <c r="I34" s="170"/>
      <c r="J34" s="140"/>
      <c r="K34" s="143"/>
      <c r="L34" s="144" t="s">
        <v>207</v>
      </c>
      <c r="M34" s="144" t="s">
        <v>118</v>
      </c>
      <c r="N34" s="143" t="s">
        <v>158</v>
      </c>
      <c r="O34" s="143" t="s">
        <v>208</v>
      </c>
      <c r="P34" s="145"/>
    </row>
    <row r="35" customFormat="false" ht="14.25" hidden="false" customHeight="false" outlineLevel="0" collapsed="false">
      <c r="B35" s="181"/>
      <c r="C35" s="182"/>
      <c r="D35" s="183"/>
      <c r="E35" s="183"/>
      <c r="F35" s="184"/>
      <c r="G35" s="184"/>
      <c r="H35" s="184"/>
      <c r="I35" s="184"/>
      <c r="J35" s="183"/>
      <c r="K35" s="183"/>
      <c r="L35" s="181"/>
      <c r="M35" s="181"/>
      <c r="N35" s="181"/>
      <c r="O35" s="183"/>
      <c r="P35" s="183"/>
      <c r="Q35" s="13"/>
      <c r="R35" s="130"/>
      <c r="S35" s="130"/>
    </row>
    <row r="36" customFormat="false" ht="14.25" hidden="false" customHeight="false" outlineLevel="0" collapsed="false">
      <c r="B36" s="185" t="s">
        <v>154</v>
      </c>
      <c r="C36" s="186"/>
      <c r="D36" s="126"/>
      <c r="E36" s="126"/>
      <c r="F36" s="126"/>
      <c r="G36" s="126"/>
      <c r="H36" s="126"/>
      <c r="I36" s="126"/>
      <c r="J36" s="13"/>
      <c r="K36" s="13"/>
      <c r="L36" s="185"/>
      <c r="M36" s="185"/>
      <c r="N36" s="185"/>
      <c r="O36" s="107"/>
      <c r="P36" s="13"/>
      <c r="Q36" s="13"/>
      <c r="R36" s="13"/>
      <c r="S36" s="130"/>
    </row>
    <row r="37" customFormat="false" ht="14.25" hidden="false" customHeight="false" outlineLevel="0" collapsed="false">
      <c r="B37" s="5" t="s">
        <v>209</v>
      </c>
    </row>
    <row r="38" customFormat="false" ht="14.25" hidden="false" customHeight="false" outlineLevel="0" collapsed="false">
      <c r="B38" s="5" t="s">
        <v>210</v>
      </c>
    </row>
    <row r="41" customFormat="false" ht="71.5" hidden="false" customHeight="false" outlineLevel="0" collapsed="false">
      <c r="A41" s="187" t="s">
        <v>211</v>
      </c>
      <c r="B41" s="188" t="s">
        <v>42</v>
      </c>
      <c r="C41" s="189"/>
      <c r="D41" s="190"/>
      <c r="E41" s="190"/>
      <c r="F41" s="191"/>
      <c r="G41" s="191"/>
      <c r="H41" s="190" t="s">
        <v>165</v>
      </c>
      <c r="I41" s="191" t="s">
        <v>156</v>
      </c>
      <c r="J41" s="191" t="s">
        <v>166</v>
      </c>
      <c r="K41" s="191" t="s">
        <v>160</v>
      </c>
      <c r="L41" s="188" t="s">
        <v>212</v>
      </c>
      <c r="M41" s="192" t="s">
        <v>213</v>
      </c>
      <c r="N41" s="187" t="s">
        <v>214</v>
      </c>
      <c r="O41" s="188"/>
      <c r="P41" s="187"/>
      <c r="Q41" s="187"/>
      <c r="R41" s="187"/>
      <c r="S41" s="187"/>
    </row>
    <row r="42" customFormat="false" ht="14.25" hidden="false" customHeight="false" outlineLevel="0" collapsed="false">
      <c r="A42" s="193"/>
      <c r="B42" s="2" t="str">
        <f aca="false">DEC2HEX(L42,2)</f>
        <v>02</v>
      </c>
      <c r="D42" s="194"/>
      <c r="E42" s="195"/>
      <c r="F42" s="195"/>
      <c r="G42" s="196"/>
      <c r="H42" s="197"/>
      <c r="I42" s="195"/>
      <c r="J42" s="195" t="n">
        <v>1</v>
      </c>
      <c r="K42" s="198" t="s">
        <v>68</v>
      </c>
      <c r="L42" s="2" t="n">
        <f aca="false">IF(D42=1,128,0)+IF(E42=1,64,0)+IF(F42=1,32,0)+IF(G42=1,16,0)+IF(H42=1,8,0)+IF(I42=1,4,0)+IF(J42=1,2,0)+IF(K42=1,1,0)</f>
        <v>2</v>
      </c>
      <c r="M42" s="10" t="s">
        <v>166</v>
      </c>
      <c r="N42" s="11" t="s">
        <v>215</v>
      </c>
      <c r="P42" s="11"/>
      <c r="Q42" s="11"/>
      <c r="R42" s="11"/>
      <c r="S42" s="11"/>
    </row>
    <row r="43" customFormat="false" ht="14.25" hidden="false" customHeight="false" outlineLevel="0" collapsed="false">
      <c r="A43" s="193"/>
      <c r="B43" s="2" t="str">
        <f aca="false">DEC2HEX(L43,2)</f>
        <v>08</v>
      </c>
      <c r="D43" s="199"/>
      <c r="E43" s="13"/>
      <c r="F43" s="13"/>
      <c r="G43" s="174" t="n">
        <v>0</v>
      </c>
      <c r="H43" s="200" t="n">
        <v>1</v>
      </c>
      <c r="I43" s="13" t="s">
        <v>68</v>
      </c>
      <c r="J43" s="13" t="n">
        <v>0</v>
      </c>
      <c r="K43" s="129" t="s">
        <v>68</v>
      </c>
      <c r="L43" s="2" t="n">
        <f aca="false">IF(D43=1,128,0)+IF(E43=1,64,0)+IF(F43=1,32,0)+IF(G43=1,16,0)+IF(H43=1,8,0)+IF(I43=1,4,0)+IF(J43=1,2,0)+IF(K43=1,1,0)</f>
        <v>8</v>
      </c>
      <c r="M43" s="10" t="s">
        <v>216</v>
      </c>
      <c r="N43" s="11" t="s">
        <v>217</v>
      </c>
      <c r="P43" s="11"/>
      <c r="Q43" s="11"/>
      <c r="R43" s="11"/>
      <c r="S43" s="11"/>
    </row>
    <row r="44" customFormat="false" ht="14.25" hidden="false" customHeight="false" outlineLevel="0" collapsed="false">
      <c r="A44" s="193"/>
      <c r="B44" s="2" t="str">
        <f aca="false">DEC2HEX(L44,2)</f>
        <v>18</v>
      </c>
      <c r="D44" s="199"/>
      <c r="E44" s="13" t="s">
        <v>68</v>
      </c>
      <c r="F44" s="13" t="s">
        <v>68</v>
      </c>
      <c r="G44" s="174" t="n">
        <v>1</v>
      </c>
      <c r="H44" s="200" t="n">
        <v>1</v>
      </c>
      <c r="I44" s="13" t="s">
        <v>68</v>
      </c>
      <c r="J44" s="13" t="n">
        <v>0</v>
      </c>
      <c r="K44" s="129" t="s">
        <v>68</v>
      </c>
      <c r="L44" s="2" t="n">
        <f aca="false">IF(D44=1,128,0)+IF(E44=1,64,0)+IF(F44=1,32,0)+IF(G44=1,16,0)+IF(H44=1,8,0)+IF(I44=1,4,0)+IF(J44=1,2,0)+IF(K44=1,1,0)</f>
        <v>24</v>
      </c>
      <c r="M44" s="10" t="s">
        <v>218</v>
      </c>
      <c r="N44" s="11" t="s">
        <v>219</v>
      </c>
      <c r="P44" s="11"/>
      <c r="Q44" s="11"/>
      <c r="R44" s="11"/>
      <c r="S44" s="11"/>
    </row>
    <row r="45" customFormat="false" ht="14.25" hidden="false" customHeight="false" outlineLevel="0" collapsed="false">
      <c r="A45" s="193"/>
      <c r="B45" s="2" t="str">
        <f aca="false">DEC2HEX(L45,2)</f>
        <v>00</v>
      </c>
      <c r="D45" s="199"/>
      <c r="E45" s="13"/>
      <c r="F45" s="13" t="n">
        <v>0</v>
      </c>
      <c r="G45" s="174" t="n">
        <v>0</v>
      </c>
      <c r="H45" s="200" t="n">
        <v>0</v>
      </c>
      <c r="I45" s="13" t="s">
        <v>68</v>
      </c>
      <c r="J45" s="13" t="n">
        <v>0</v>
      </c>
      <c r="K45" s="129" t="s">
        <v>68</v>
      </c>
      <c r="L45" s="2" t="n">
        <f aca="false">IF(D45=1,128,0)+IF(E45=1,64,0)+IF(F45=1,32,0)+IF(G45=1,16,0)+IF(H45=1,8,0)+IF(I45=1,4,0)+IF(J45=1,2,0)+IF(K45=1,1,0)</f>
        <v>0</v>
      </c>
      <c r="M45" s="10" t="s">
        <v>220</v>
      </c>
      <c r="N45" s="11" t="s">
        <v>221</v>
      </c>
      <c r="P45" s="11"/>
      <c r="Q45" s="11"/>
      <c r="R45" s="11"/>
      <c r="S45" s="11"/>
    </row>
    <row r="46" customFormat="false" ht="14.25" hidden="false" customHeight="false" outlineLevel="0" collapsed="false">
      <c r="A46" s="193"/>
      <c r="B46" s="2" t="str">
        <f aca="false">DEC2HEX(L46,2)</f>
        <v>10</v>
      </c>
      <c r="D46" s="199"/>
      <c r="E46" s="13"/>
      <c r="F46" s="13" t="n">
        <v>0</v>
      </c>
      <c r="G46" s="174" t="n">
        <v>1</v>
      </c>
      <c r="H46" s="200" t="n">
        <v>0</v>
      </c>
      <c r="I46" s="13" t="s">
        <v>68</v>
      </c>
      <c r="J46" s="13" t="n">
        <v>0</v>
      </c>
      <c r="K46" s="129" t="s">
        <v>68</v>
      </c>
      <c r="L46" s="2" t="n">
        <f aca="false">IF(D46=1,128,0)+IF(E46=1,64,0)+IF(F46=1,32,0)+IF(G46=1,16,0)+IF(H46=1,8,0)+IF(I46=1,4,0)+IF(J46=1,2,0)+IF(K46=1,1,0)</f>
        <v>16</v>
      </c>
      <c r="M46" s="10" t="s">
        <v>169</v>
      </c>
      <c r="N46" s="11" t="s">
        <v>222</v>
      </c>
      <c r="O46" s="1"/>
      <c r="P46" s="11"/>
      <c r="Q46" s="11"/>
      <c r="R46" s="11"/>
      <c r="S46" s="11"/>
    </row>
    <row r="47" customFormat="false" ht="14.25" hidden="false" customHeight="false" outlineLevel="0" collapsed="false">
      <c r="A47" s="193"/>
      <c r="B47" s="2" t="str">
        <f aca="false">DEC2HEX(L47,2)</f>
        <v>20</v>
      </c>
      <c r="D47" s="199"/>
      <c r="E47" s="13"/>
      <c r="F47" s="13" t="n">
        <v>1</v>
      </c>
      <c r="G47" s="174" t="n">
        <v>0</v>
      </c>
      <c r="H47" s="200" t="n">
        <v>0</v>
      </c>
      <c r="I47" s="13" t="s">
        <v>68</v>
      </c>
      <c r="J47" s="13" t="n">
        <v>0</v>
      </c>
      <c r="K47" s="129" t="s">
        <v>68</v>
      </c>
      <c r="L47" s="2" t="n">
        <f aca="false">IF(D47=1,128,0)+IF(E47=1,64,0)+IF(F47=1,32,0)+IF(G47=1,16,0)+IF(H47=1,8,0)+IF(I47=1,4,0)+IF(J47=1,2,0)+IF(K47=1,1,0)</f>
        <v>32</v>
      </c>
      <c r="M47" s="10" t="s">
        <v>170</v>
      </c>
      <c r="N47" s="11" t="s">
        <v>223</v>
      </c>
      <c r="P47" s="11"/>
      <c r="Q47" s="11"/>
      <c r="R47" s="11"/>
      <c r="S47" s="11"/>
    </row>
    <row r="48" customFormat="false" ht="14.25" hidden="false" customHeight="false" outlineLevel="0" collapsed="false">
      <c r="A48" s="193"/>
      <c r="B48" s="2" t="str">
        <f aca="false">DEC2HEX(L48,2)</f>
        <v>00</v>
      </c>
      <c r="D48" s="201"/>
      <c r="E48" s="140" t="s">
        <v>68</v>
      </c>
      <c r="F48" s="140" t="s">
        <v>68</v>
      </c>
      <c r="G48" s="202" t="s">
        <v>68</v>
      </c>
      <c r="H48" s="142" t="n">
        <v>0</v>
      </c>
      <c r="I48" s="140" t="s">
        <v>68</v>
      </c>
      <c r="J48" s="140" t="n">
        <v>0</v>
      </c>
      <c r="K48" s="143" t="s">
        <v>68</v>
      </c>
      <c r="L48" s="2" t="n">
        <f aca="false">IF(D48=1,128,0)+IF(E48=1,64,0)+IF(F48=1,32,0)+IF(G48=1,16,0)+IF(H48=1,8,0)+IF(I48=1,4,0)+IF(J48=1,2,0)+IF(K48=1,1,0)</f>
        <v>0</v>
      </c>
      <c r="M48" s="10" t="s">
        <v>171</v>
      </c>
      <c r="N48" s="11" t="s">
        <v>224</v>
      </c>
      <c r="P48" s="11"/>
      <c r="Q48" s="11"/>
      <c r="R48" s="11"/>
      <c r="S48" s="11"/>
    </row>
    <row r="49" customFormat="false" ht="14.25" hidden="false" customHeight="false" outlineLevel="0" collapsed="false">
      <c r="M49" s="1"/>
      <c r="N49" s="1"/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48576"/>
  <sheetViews>
    <sheetView showFormulas="false" showGridLines="true" showRowColHeaders="true" showZeros="true" rightToLeft="false" tabSelected="false" showOutlineSymbols="true" defaultGridColor="true" view="normal" topLeftCell="A1" colorId="64" zoomScale="106" zoomScaleNormal="106" zoomScalePageLayoutView="100" workbookViewId="0">
      <pane xSplit="0" ySplit="1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9.00390625" defaultRowHeight="14.25" customHeight="true" zeroHeight="false" outlineLevelRow="1" outlineLevelCol="0"/>
  <cols>
    <col collapsed="false" customWidth="true" hidden="false" outlineLevel="0" max="1" min="1" style="6" width="18.74"/>
    <col collapsed="false" customWidth="true" hidden="false" outlineLevel="0" max="2" min="2" style="1" width="9.34"/>
    <col collapsed="false" customWidth="true" hidden="false" outlineLevel="0" max="3" min="3" style="20" width="4.79"/>
    <col collapsed="false" customWidth="true" hidden="false" outlineLevel="0" max="4" min="4" style="2" width="4.47"/>
    <col collapsed="false" customWidth="true" hidden="false" outlineLevel="0" max="12" min="5" style="2" width="2.47"/>
    <col collapsed="false" customWidth="true" hidden="false" outlineLevel="0" max="13" min="13" style="2" width="17.67"/>
    <col collapsed="false" customWidth="true" hidden="false" outlineLevel="0" max="14" min="14" style="1" width="16.81"/>
    <col collapsed="false" customWidth="true" hidden="false" outlineLevel="0" max="15" min="15" style="5" width="11.75"/>
    <col collapsed="false" customWidth="true" hidden="false" outlineLevel="0" max="16" min="16" style="1" width="88.58"/>
  </cols>
  <sheetData>
    <row r="1" customFormat="false" ht="14.25" hidden="false" customHeight="false" outlineLevel="0" collapsed="false">
      <c r="A1" s="203"/>
      <c r="B1" s="204" t="s">
        <v>32</v>
      </c>
      <c r="C1" s="17" t="s">
        <v>42</v>
      </c>
      <c r="D1" s="17" t="s">
        <v>41</v>
      </c>
      <c r="E1" s="26" t="n">
        <v>7</v>
      </c>
      <c r="F1" s="205" t="n">
        <v>6</v>
      </c>
      <c r="G1" s="205" t="n">
        <v>5</v>
      </c>
      <c r="H1" s="27" t="n">
        <v>4</v>
      </c>
      <c r="I1" s="26" t="n">
        <v>3</v>
      </c>
      <c r="J1" s="205" t="n">
        <v>2</v>
      </c>
      <c r="K1" s="205" t="n">
        <v>1</v>
      </c>
      <c r="L1" s="27" t="n">
        <v>0</v>
      </c>
      <c r="M1" s="206" t="s">
        <v>36</v>
      </c>
      <c r="N1" s="206" t="s">
        <v>1</v>
      </c>
      <c r="O1" s="207" t="s">
        <v>153</v>
      </c>
      <c r="P1" s="208" t="s">
        <v>3</v>
      </c>
    </row>
    <row r="2" customFormat="false" ht="14.25" hidden="false" customHeight="false" outlineLevel="0" collapsed="false">
      <c r="A2" s="209" t="s">
        <v>225</v>
      </c>
      <c r="B2" s="210"/>
      <c r="C2" s="211" t="str">
        <f aca="false">DEC2HEX(D2,2)</f>
        <v>00</v>
      </c>
      <c r="D2" s="161" t="n">
        <f aca="false">IF(E2=1,128,0)+IF(F2=1,64,0)+IF(G2=1,32,0)+IF(H2=1,16,0)+IF(I2=1,8,0)+IF(J2=1,4,0)+IF(K2=1,2,0)+IF(L2=1,1,0)</f>
        <v>0</v>
      </c>
      <c r="E2" s="178"/>
      <c r="F2" s="161"/>
      <c r="G2" s="161"/>
      <c r="H2" s="165"/>
      <c r="I2" s="178" t="n">
        <v>0</v>
      </c>
      <c r="J2" s="161" t="n">
        <v>0</v>
      </c>
      <c r="K2" s="161" t="n">
        <v>0</v>
      </c>
      <c r="L2" s="165" t="n">
        <v>0</v>
      </c>
      <c r="M2" s="212" t="s">
        <v>226</v>
      </c>
      <c r="N2" s="210"/>
      <c r="O2" s="213"/>
      <c r="P2" s="214"/>
    </row>
    <row r="3" customFormat="false" ht="14.25" hidden="true" customHeight="false" outlineLevel="1" collapsed="false">
      <c r="A3" s="215"/>
      <c r="B3" s="130"/>
      <c r="C3" s="17"/>
      <c r="D3" s="107"/>
      <c r="E3" s="49"/>
      <c r="F3" s="107"/>
      <c r="G3" s="107" t="s">
        <v>227</v>
      </c>
      <c r="H3" s="50" t="s">
        <v>227</v>
      </c>
      <c r="I3" s="49"/>
      <c r="J3" s="13"/>
      <c r="K3" s="107"/>
      <c r="L3" s="50"/>
      <c r="M3" s="216"/>
      <c r="N3" s="216" t="s">
        <v>228</v>
      </c>
      <c r="O3" s="217" t="s">
        <v>229</v>
      </c>
      <c r="P3" s="218"/>
    </row>
    <row r="4" customFormat="false" ht="14.25" hidden="true" customHeight="false" outlineLevel="1" collapsed="false">
      <c r="A4" s="215"/>
      <c r="B4" s="130"/>
      <c r="E4" s="49"/>
      <c r="F4" s="107" t="s">
        <v>230</v>
      </c>
      <c r="G4" s="107"/>
      <c r="H4" s="50"/>
      <c r="I4" s="49"/>
      <c r="J4" s="13"/>
      <c r="K4" s="107"/>
      <c r="L4" s="50"/>
      <c r="M4" s="216" t="s">
        <v>231</v>
      </c>
      <c r="N4" s="10"/>
      <c r="O4" s="14"/>
      <c r="P4" s="219"/>
    </row>
    <row r="5" customFormat="false" ht="14.25" hidden="true" customHeight="false" outlineLevel="1" collapsed="false">
      <c r="A5" s="215"/>
      <c r="B5" s="130"/>
      <c r="C5" s="17"/>
      <c r="D5" s="107"/>
      <c r="E5" s="49"/>
      <c r="F5" s="107"/>
      <c r="G5" s="107"/>
      <c r="H5" s="50"/>
      <c r="I5" s="49"/>
      <c r="J5" s="13"/>
      <c r="K5" s="107"/>
      <c r="L5" s="50"/>
      <c r="M5" s="216"/>
      <c r="O5" s="217"/>
      <c r="P5" s="218"/>
    </row>
    <row r="6" customFormat="false" ht="14.25" hidden="true" customHeight="false" outlineLevel="1" collapsed="false">
      <c r="A6" s="215"/>
      <c r="B6" s="130" t="s">
        <v>232</v>
      </c>
      <c r="E6" s="49"/>
      <c r="F6" s="107"/>
      <c r="G6" s="107"/>
      <c r="H6" s="50"/>
      <c r="I6" s="49"/>
      <c r="J6" s="13"/>
      <c r="K6" s="107"/>
      <c r="L6" s="50"/>
      <c r="M6" s="216"/>
      <c r="N6" s="10" t="s">
        <v>1</v>
      </c>
      <c r="O6" s="14" t="s">
        <v>233</v>
      </c>
      <c r="P6" s="219"/>
    </row>
    <row r="7" customFormat="false" ht="14.25" hidden="false" customHeight="false" outlineLevel="0" collapsed="false">
      <c r="A7" s="209" t="s">
        <v>234</v>
      </c>
      <c r="B7" s="210"/>
      <c r="C7" s="211" t="str">
        <f aca="false">DEC2HEX(D7,2)</f>
        <v>01</v>
      </c>
      <c r="D7" s="161" t="n">
        <f aca="false">IF(E7=1,128,0)+IF(F7=1,64,0)+IF(G7=1,32,0)+IF(H7=1,16,0)+IF(I7=1,8,0)+IF(J7=1,4,0)+IF(K7=1,2,0)+IF(L7=1,1,0)</f>
        <v>1</v>
      </c>
      <c r="E7" s="178"/>
      <c r="F7" s="161"/>
      <c r="G7" s="161"/>
      <c r="H7" s="165"/>
      <c r="I7" s="178" t="n">
        <v>0</v>
      </c>
      <c r="J7" s="161" t="n">
        <v>0</v>
      </c>
      <c r="K7" s="161" t="n">
        <v>0</v>
      </c>
      <c r="L7" s="165" t="n">
        <v>1</v>
      </c>
      <c r="M7" s="212" t="s">
        <v>235</v>
      </c>
      <c r="N7" s="210"/>
      <c r="O7" s="212"/>
      <c r="P7" s="214"/>
    </row>
    <row r="8" customFormat="false" ht="14.25" hidden="true" customHeight="false" outlineLevel="1" collapsed="false">
      <c r="A8" s="215"/>
      <c r="B8" s="130"/>
      <c r="C8" s="17"/>
      <c r="D8" s="107"/>
      <c r="E8" s="49"/>
      <c r="F8" s="107"/>
      <c r="G8" s="107" t="s">
        <v>227</v>
      </c>
      <c r="H8" s="50" t="s">
        <v>227</v>
      </c>
      <c r="I8" s="49"/>
      <c r="J8" s="13"/>
      <c r="K8" s="107"/>
      <c r="L8" s="50"/>
      <c r="M8" s="216"/>
      <c r="N8" s="1" t="s">
        <v>228</v>
      </c>
      <c r="O8" s="217" t="s">
        <v>229</v>
      </c>
      <c r="P8" s="218" t="s">
        <v>236</v>
      </c>
    </row>
    <row r="9" customFormat="false" ht="14.25" hidden="true" customHeight="false" outlineLevel="1" collapsed="false">
      <c r="A9" s="215"/>
      <c r="B9" s="130"/>
      <c r="C9" s="17"/>
      <c r="D9" s="107"/>
      <c r="E9" s="49"/>
      <c r="F9" s="107"/>
      <c r="G9" s="107"/>
      <c r="H9" s="50"/>
      <c r="I9" s="49"/>
      <c r="J9" s="13"/>
      <c r="K9" s="107"/>
      <c r="L9" s="50"/>
      <c r="M9" s="216"/>
      <c r="O9" s="217"/>
      <c r="P9" s="218"/>
    </row>
    <row r="10" customFormat="false" ht="14.25" hidden="true" customHeight="false" outlineLevel="1" collapsed="false">
      <c r="A10" s="215"/>
      <c r="B10" s="130" t="s">
        <v>232</v>
      </c>
      <c r="E10" s="134"/>
      <c r="F10" s="107"/>
      <c r="G10" s="107"/>
      <c r="H10" s="50"/>
      <c r="I10" s="134"/>
      <c r="J10" s="107"/>
      <c r="K10" s="107"/>
      <c r="L10" s="50"/>
      <c r="M10" s="10"/>
      <c r="N10" s="14" t="s">
        <v>1</v>
      </c>
      <c r="O10" s="14" t="s">
        <v>233</v>
      </c>
      <c r="P10" s="219"/>
    </row>
    <row r="11" customFormat="false" ht="14.25" hidden="false" customHeight="false" outlineLevel="0" collapsed="false">
      <c r="A11" s="209" t="s">
        <v>237</v>
      </c>
      <c r="B11" s="210"/>
      <c r="C11" s="211" t="str">
        <f aca="false">DEC2HEX(D11,2)</f>
        <v>02</v>
      </c>
      <c r="D11" s="161" t="n">
        <f aca="false">IF(E11=1,128,0)+IF(F11=1,64,0)+IF(G11=1,32,0)+IF(H11=1,16,0)+IF(I11=1,8,0)+IF(J11=1,4,0)+IF(K11=1,2,0)+IF(L11=1,1,0)</f>
        <v>2</v>
      </c>
      <c r="E11" s="178"/>
      <c r="F11" s="161"/>
      <c r="G11" s="161"/>
      <c r="H11" s="165"/>
      <c r="I11" s="161" t="n">
        <v>0</v>
      </c>
      <c r="J11" s="161" t="n">
        <v>0</v>
      </c>
      <c r="K11" s="161" t="n">
        <v>1</v>
      </c>
      <c r="L11" s="165" t="n">
        <v>0</v>
      </c>
      <c r="M11" s="212" t="s">
        <v>238</v>
      </c>
      <c r="N11" s="210"/>
      <c r="O11" s="213"/>
      <c r="P11" s="214"/>
    </row>
    <row r="12" customFormat="false" ht="14.25" hidden="true" customHeight="false" outlineLevel="1" collapsed="false">
      <c r="A12" s="215"/>
      <c r="B12" s="130"/>
      <c r="C12" s="17"/>
      <c r="D12" s="107"/>
      <c r="E12" s="49"/>
      <c r="F12" s="107"/>
      <c r="G12" s="107" t="s">
        <v>227</v>
      </c>
      <c r="H12" s="50" t="s">
        <v>227</v>
      </c>
      <c r="I12" s="49"/>
      <c r="J12" s="13"/>
      <c r="K12" s="107"/>
      <c r="L12" s="50"/>
      <c r="M12" s="216"/>
      <c r="N12" s="216" t="s">
        <v>239</v>
      </c>
      <c r="O12" s="217" t="s">
        <v>229</v>
      </c>
      <c r="P12" s="220" t="s">
        <v>240</v>
      </c>
    </row>
    <row r="13" customFormat="false" ht="14.25" hidden="true" customHeight="false" outlineLevel="1" collapsed="false">
      <c r="A13" s="215"/>
      <c r="B13" s="130"/>
      <c r="C13" s="17"/>
      <c r="D13" s="107"/>
      <c r="E13" s="49"/>
      <c r="F13" s="107"/>
      <c r="G13" s="107"/>
      <c r="H13" s="50"/>
      <c r="I13" s="49"/>
      <c r="J13" s="13"/>
      <c r="K13" s="107"/>
      <c r="L13" s="50"/>
      <c r="M13" s="216"/>
      <c r="O13" s="217"/>
      <c r="P13" s="218"/>
    </row>
    <row r="14" customFormat="false" ht="14.25" hidden="true" customHeight="false" outlineLevel="1" collapsed="false">
      <c r="A14" s="215"/>
      <c r="B14" s="130" t="s">
        <v>232</v>
      </c>
      <c r="E14" s="49"/>
      <c r="F14" s="107"/>
      <c r="G14" s="107"/>
      <c r="H14" s="50"/>
      <c r="I14" s="49"/>
      <c r="J14" s="13"/>
      <c r="K14" s="107"/>
      <c r="L14" s="50"/>
      <c r="M14" s="216"/>
      <c r="N14" s="10" t="s">
        <v>1</v>
      </c>
      <c r="O14" s="14" t="s">
        <v>241</v>
      </c>
      <c r="P14" s="219" t="s">
        <v>242</v>
      </c>
    </row>
    <row r="15" customFormat="false" ht="14.25" hidden="false" customHeight="false" outlineLevel="0" collapsed="false">
      <c r="A15" s="209" t="s">
        <v>159</v>
      </c>
      <c r="B15" s="210"/>
      <c r="C15" s="211" t="str">
        <f aca="false">DEC2HEX(D15,2)</f>
        <v>03</v>
      </c>
      <c r="D15" s="161" t="n">
        <f aca="false">IF(E15=1,128,0)+IF(F15=1,64,0)+IF(G15=1,32,0)+IF(H15=1,16,0)+IF(I15=1,8,0)+IF(J15=1,4,0)+IF(K15=1,2,0)+IF(L15=1,1,0)</f>
        <v>3</v>
      </c>
      <c r="E15" s="178"/>
      <c r="F15" s="161"/>
      <c r="G15" s="161"/>
      <c r="H15" s="165"/>
      <c r="I15" s="161" t="n">
        <v>0</v>
      </c>
      <c r="J15" s="161" t="n">
        <v>0</v>
      </c>
      <c r="K15" s="161" t="n">
        <v>1</v>
      </c>
      <c r="L15" s="165" t="n">
        <v>1</v>
      </c>
      <c r="M15" s="212" t="s">
        <v>97</v>
      </c>
      <c r="N15" s="210"/>
      <c r="O15" s="212"/>
      <c r="P15" s="214"/>
    </row>
    <row r="16" customFormat="false" ht="14.25" hidden="true" customHeight="false" outlineLevel="1" collapsed="false">
      <c r="A16" s="215"/>
      <c r="B16" s="130"/>
      <c r="C16" s="17"/>
      <c r="D16" s="107"/>
      <c r="E16" s="49"/>
      <c r="F16" s="107"/>
      <c r="G16" s="107"/>
      <c r="H16" s="50"/>
      <c r="I16" s="49"/>
      <c r="J16" s="13"/>
      <c r="K16" s="107"/>
      <c r="L16" s="50"/>
      <c r="M16" s="216"/>
      <c r="O16" s="217"/>
      <c r="P16" s="218"/>
    </row>
    <row r="17" customFormat="false" ht="14.25" hidden="true" customHeight="false" outlineLevel="1" collapsed="false">
      <c r="A17" s="215"/>
      <c r="B17" s="130" t="s">
        <v>232</v>
      </c>
      <c r="C17" s="17"/>
      <c r="D17" s="107"/>
      <c r="E17" s="49"/>
      <c r="F17" s="107"/>
      <c r="G17" s="107"/>
      <c r="H17" s="50"/>
      <c r="I17" s="49"/>
      <c r="J17" s="13"/>
      <c r="K17" s="107"/>
      <c r="L17" s="50"/>
      <c r="M17" s="216"/>
      <c r="N17" s="1" t="s">
        <v>243</v>
      </c>
      <c r="O17" s="217" t="s">
        <v>244</v>
      </c>
      <c r="P17" s="218" t="s">
        <v>245</v>
      </c>
    </row>
    <row r="18" customFormat="false" ht="14.25" hidden="true" customHeight="false" outlineLevel="1" collapsed="false">
      <c r="A18" s="215"/>
      <c r="B18" s="130" t="s">
        <v>232</v>
      </c>
      <c r="E18" s="134"/>
      <c r="F18" s="107"/>
      <c r="G18" s="107"/>
      <c r="H18" s="50"/>
      <c r="I18" s="134"/>
      <c r="J18" s="107"/>
      <c r="K18" s="107"/>
      <c r="L18" s="50"/>
      <c r="M18" s="10"/>
      <c r="N18" s="14" t="s">
        <v>1</v>
      </c>
      <c r="O18" s="14" t="s">
        <v>246</v>
      </c>
      <c r="P18" s="221" t="s">
        <v>247</v>
      </c>
    </row>
    <row r="19" customFormat="false" ht="14.25" hidden="false" customHeight="false" outlineLevel="0" collapsed="false">
      <c r="A19" s="209" t="s">
        <v>248</v>
      </c>
      <c r="B19" s="210"/>
      <c r="C19" s="211" t="str">
        <f aca="false">DEC2HEX(D19,2)</f>
        <v>04</v>
      </c>
      <c r="D19" s="161" t="n">
        <f aca="false">IF(E19=1,128,0)+IF(F19=1,64,0)+IF(G19=1,32,0)+IF(H19=1,16,0)+IF(I19=1,8,0)+IF(J19=1,4,0)+IF(K19=1,2,0)+IF(L19=1,1,0)</f>
        <v>4</v>
      </c>
      <c r="E19" s="178"/>
      <c r="F19" s="161"/>
      <c r="G19" s="161"/>
      <c r="H19" s="165"/>
      <c r="I19" s="161" t="n">
        <v>0</v>
      </c>
      <c r="J19" s="161" t="n">
        <v>1</v>
      </c>
      <c r="K19" s="161" t="n">
        <v>0</v>
      </c>
      <c r="L19" s="165" t="n">
        <v>0</v>
      </c>
      <c r="M19" s="212" t="s">
        <v>249</v>
      </c>
      <c r="N19" s="210"/>
      <c r="O19" s="212"/>
      <c r="P19" s="214"/>
    </row>
    <row r="20" customFormat="false" ht="14.25" hidden="true" customHeight="false" outlineLevel="1" collapsed="false">
      <c r="A20" s="215"/>
      <c r="B20" s="130"/>
      <c r="E20" s="134"/>
      <c r="F20" s="107"/>
      <c r="G20" s="107" t="s">
        <v>227</v>
      </c>
      <c r="H20" s="50" t="s">
        <v>227</v>
      </c>
      <c r="I20" s="107"/>
      <c r="J20" s="107"/>
      <c r="K20" s="107"/>
      <c r="L20" s="50"/>
      <c r="M20" s="10"/>
      <c r="N20" s="1" t="s">
        <v>228</v>
      </c>
      <c r="O20" s="14" t="s">
        <v>229</v>
      </c>
      <c r="P20" s="218"/>
    </row>
    <row r="21" customFormat="false" ht="14.25" hidden="true" customHeight="false" outlineLevel="1" collapsed="false">
      <c r="A21" s="215"/>
      <c r="B21" s="130"/>
      <c r="E21" s="134"/>
      <c r="F21" s="107" t="s">
        <v>230</v>
      </c>
      <c r="G21" s="107"/>
      <c r="H21" s="50"/>
      <c r="I21" s="107"/>
      <c r="J21" s="107"/>
      <c r="K21" s="107"/>
      <c r="L21" s="50"/>
      <c r="M21" s="10" t="s">
        <v>250</v>
      </c>
      <c r="N21" s="10"/>
      <c r="O21" s="130"/>
      <c r="P21" s="218" t="s">
        <v>251</v>
      </c>
    </row>
    <row r="22" s="222" customFormat="true" ht="14.25" hidden="true" customHeight="false" outlineLevel="1" collapsed="false">
      <c r="A22" s="215"/>
      <c r="B22" s="130"/>
      <c r="C22" s="20"/>
      <c r="D22" s="2"/>
      <c r="E22" s="134"/>
      <c r="F22" s="107"/>
      <c r="G22" s="107"/>
      <c r="H22" s="50"/>
      <c r="I22" s="107"/>
      <c r="J22" s="107"/>
      <c r="K22" s="107"/>
      <c r="L22" s="50"/>
      <c r="M22" s="10"/>
      <c r="N22" s="10" t="s">
        <v>252</v>
      </c>
      <c r="O22" s="130" t="s">
        <v>72</v>
      </c>
      <c r="P22" s="218"/>
    </row>
    <row r="23" customFormat="false" ht="14.25" hidden="true" customHeight="false" outlineLevel="1" collapsed="false">
      <c r="A23" s="223"/>
      <c r="B23" s="224"/>
      <c r="C23" s="225"/>
      <c r="D23" s="226"/>
      <c r="E23" s="227" t="s">
        <v>253</v>
      </c>
      <c r="F23" s="226"/>
      <c r="G23" s="226"/>
      <c r="H23" s="228"/>
      <c r="I23" s="227"/>
      <c r="J23" s="229"/>
      <c r="K23" s="226"/>
      <c r="L23" s="228"/>
      <c r="M23" s="230" t="s">
        <v>254</v>
      </c>
      <c r="N23" s="222"/>
      <c r="O23" s="231"/>
      <c r="P23" s="232" t="s">
        <v>255</v>
      </c>
    </row>
    <row r="24" customFormat="false" ht="14.25" hidden="true" customHeight="false" outlineLevel="1" collapsed="false">
      <c r="A24" s="215"/>
      <c r="B24" s="130" t="s">
        <v>232</v>
      </c>
      <c r="E24" s="134"/>
      <c r="F24" s="107"/>
      <c r="G24" s="107"/>
      <c r="H24" s="50"/>
      <c r="I24" s="107"/>
      <c r="J24" s="107"/>
      <c r="K24" s="107"/>
      <c r="L24" s="50"/>
      <c r="M24" s="10"/>
      <c r="N24" s="10"/>
      <c r="O24" s="14" t="s">
        <v>256</v>
      </c>
      <c r="P24" s="218" t="s">
        <v>257</v>
      </c>
    </row>
    <row r="25" customFormat="false" ht="14.25" hidden="false" customHeight="false" outlineLevel="0" collapsed="false">
      <c r="A25" s="209" t="s">
        <v>258</v>
      </c>
      <c r="B25" s="210"/>
      <c r="C25" s="211" t="str">
        <f aca="false">DEC2HEX(D25,2)</f>
        <v>05</v>
      </c>
      <c r="D25" s="161" t="n">
        <f aca="false">IF(E25=1,128,0)+IF(F25=1,64,0)+IF(G25=1,32,0)+IF(H25=1,16,0)+IF(I25=1,8,0)+IF(J25=1,4,0)+IF(K25=1,2,0)+IF(L25=1,1,0)</f>
        <v>5</v>
      </c>
      <c r="E25" s="178"/>
      <c r="F25" s="161"/>
      <c r="G25" s="161"/>
      <c r="H25" s="165"/>
      <c r="I25" s="161" t="n">
        <v>0</v>
      </c>
      <c r="J25" s="161" t="n">
        <v>1</v>
      </c>
      <c r="K25" s="161" t="n">
        <v>0</v>
      </c>
      <c r="L25" s="165" t="n">
        <v>1</v>
      </c>
      <c r="M25" s="212" t="s">
        <v>259</v>
      </c>
      <c r="N25" s="210"/>
      <c r="O25" s="212"/>
      <c r="P25" s="214"/>
    </row>
    <row r="26" customFormat="false" ht="14.25" hidden="true" customHeight="false" outlineLevel="1" collapsed="false">
      <c r="A26" s="215"/>
      <c r="B26" s="130"/>
      <c r="E26" s="134"/>
      <c r="F26" s="107" t="s">
        <v>230</v>
      </c>
      <c r="G26" s="107"/>
      <c r="H26" s="50"/>
      <c r="I26" s="107"/>
      <c r="J26" s="107"/>
      <c r="K26" s="107"/>
      <c r="L26" s="50"/>
      <c r="M26" s="10" t="s">
        <v>250</v>
      </c>
      <c r="N26" s="10"/>
      <c r="O26" s="130"/>
      <c r="P26" s="218" t="s">
        <v>260</v>
      </c>
    </row>
    <row r="27" customFormat="false" ht="14.25" hidden="true" customHeight="false" outlineLevel="1" collapsed="false">
      <c r="A27" s="215"/>
      <c r="B27" s="130"/>
      <c r="E27" s="134"/>
      <c r="F27" s="107"/>
      <c r="G27" s="107"/>
      <c r="H27" s="50"/>
      <c r="I27" s="107"/>
      <c r="J27" s="107"/>
      <c r="K27" s="107"/>
      <c r="L27" s="50"/>
      <c r="M27" s="10"/>
      <c r="N27" s="10" t="s">
        <v>252</v>
      </c>
      <c r="O27" s="130" t="s">
        <v>72</v>
      </c>
      <c r="P27" s="218"/>
    </row>
    <row r="28" customFormat="false" ht="14.25" hidden="true" customHeight="false" outlineLevel="1" collapsed="false">
      <c r="A28" s="215"/>
      <c r="B28" s="130"/>
      <c r="C28" s="17"/>
      <c r="D28" s="107"/>
      <c r="E28" s="49"/>
      <c r="F28" s="107"/>
      <c r="G28" s="107"/>
      <c r="H28" s="50"/>
      <c r="I28" s="49"/>
      <c r="J28" s="13"/>
      <c r="K28" s="107"/>
      <c r="L28" s="50"/>
      <c r="M28" s="216"/>
      <c r="O28" s="217"/>
    </row>
    <row r="29" customFormat="false" ht="14.25" hidden="true" customHeight="false" outlineLevel="1" collapsed="false">
      <c r="A29" s="215"/>
      <c r="B29" s="130" t="s">
        <v>232</v>
      </c>
      <c r="C29" s="17"/>
      <c r="D29" s="107"/>
      <c r="E29" s="49"/>
      <c r="F29" s="107"/>
      <c r="G29" s="107"/>
      <c r="H29" s="50"/>
      <c r="I29" s="49"/>
      <c r="J29" s="13"/>
      <c r="K29" s="107"/>
      <c r="L29" s="50"/>
      <c r="M29" s="216"/>
      <c r="N29" s="1" t="s">
        <v>243</v>
      </c>
      <c r="O29" s="217" t="s">
        <v>244</v>
      </c>
      <c r="P29" s="218" t="s">
        <v>245</v>
      </c>
    </row>
    <row r="30" customFormat="false" ht="14.25" hidden="true" customHeight="false" outlineLevel="1" collapsed="false">
      <c r="A30" s="215"/>
      <c r="B30" s="130" t="s">
        <v>232</v>
      </c>
      <c r="E30" s="134"/>
      <c r="F30" s="107"/>
      <c r="G30" s="107"/>
      <c r="H30" s="50"/>
      <c r="I30" s="134"/>
      <c r="J30" s="107"/>
      <c r="K30" s="107"/>
      <c r="L30" s="50"/>
      <c r="M30" s="10"/>
      <c r="N30" s="14" t="s">
        <v>1</v>
      </c>
      <c r="O30" s="14" t="s">
        <v>246</v>
      </c>
      <c r="P30" s="221" t="s">
        <v>247</v>
      </c>
    </row>
    <row r="31" customFormat="false" ht="14.25" hidden="false" customHeight="false" outlineLevel="0" collapsed="false">
      <c r="A31" s="209" t="s">
        <v>261</v>
      </c>
      <c r="B31" s="210"/>
      <c r="C31" s="211" t="str">
        <f aca="false">DEC2HEX(D31,2)</f>
        <v>06</v>
      </c>
      <c r="D31" s="161" t="n">
        <f aca="false">IF(E31=1,128,0)+IF(F31=1,64,0)+IF(G31=1,32,0)+IF(H31=1,16,0)+IF(I31=1,8,0)+IF(J31=1,4,0)+IF(K31=1,2,0)+IF(L31=1,1,0)</f>
        <v>6</v>
      </c>
      <c r="E31" s="178"/>
      <c r="F31" s="161"/>
      <c r="G31" s="161"/>
      <c r="H31" s="165"/>
      <c r="I31" s="161" t="n">
        <v>0</v>
      </c>
      <c r="J31" s="161" t="n">
        <v>1</v>
      </c>
      <c r="K31" s="161" t="n">
        <v>1</v>
      </c>
      <c r="L31" s="165" t="n">
        <v>0</v>
      </c>
      <c r="M31" s="212" t="s">
        <v>262</v>
      </c>
      <c r="N31" s="210"/>
      <c r="O31" s="212"/>
      <c r="P31" s="233" t="s">
        <v>263</v>
      </c>
    </row>
    <row r="32" customFormat="false" ht="14.25" hidden="true" customHeight="false" outlineLevel="1" collapsed="false">
      <c r="A32" s="215"/>
      <c r="E32" s="134"/>
      <c r="F32" s="107"/>
      <c r="G32" s="107" t="n">
        <v>0</v>
      </c>
      <c r="H32" s="50" t="n">
        <v>0</v>
      </c>
      <c r="I32" s="107"/>
      <c r="J32" s="107"/>
      <c r="K32" s="107"/>
      <c r="L32" s="50"/>
      <c r="M32" s="130" t="s">
        <v>264</v>
      </c>
      <c r="P32" s="218"/>
    </row>
    <row r="33" customFormat="false" ht="14.25" hidden="true" customHeight="false" outlineLevel="1" collapsed="false">
      <c r="A33" s="215"/>
      <c r="E33" s="134"/>
      <c r="F33" s="107"/>
      <c r="G33" s="107" t="n">
        <v>0</v>
      </c>
      <c r="H33" s="50" t="n">
        <v>1</v>
      </c>
      <c r="I33" s="107"/>
      <c r="J33" s="107"/>
      <c r="K33" s="107"/>
      <c r="L33" s="50"/>
      <c r="M33" s="216" t="s">
        <v>265</v>
      </c>
      <c r="P33" s="218"/>
    </row>
    <row r="34" customFormat="false" ht="14.25" hidden="true" customHeight="false" outlineLevel="1" collapsed="false">
      <c r="A34" s="215"/>
      <c r="E34" s="134"/>
      <c r="F34" s="107"/>
      <c r="G34" s="107" t="n">
        <v>1</v>
      </c>
      <c r="H34" s="50" t="n">
        <v>0</v>
      </c>
      <c r="I34" s="107"/>
      <c r="J34" s="107"/>
      <c r="K34" s="107"/>
      <c r="L34" s="50"/>
      <c r="M34" s="216" t="s">
        <v>266</v>
      </c>
      <c r="P34" s="218"/>
    </row>
    <row r="35" customFormat="false" ht="14.25" hidden="true" customHeight="false" outlineLevel="1" collapsed="false">
      <c r="A35" s="215"/>
      <c r="E35" s="134"/>
      <c r="F35" s="107"/>
      <c r="G35" s="107" t="n">
        <v>1</v>
      </c>
      <c r="H35" s="50" t="n">
        <v>1</v>
      </c>
      <c r="I35" s="107"/>
      <c r="J35" s="107"/>
      <c r="K35" s="107"/>
      <c r="L35" s="50"/>
      <c r="M35" s="10" t="s">
        <v>267</v>
      </c>
      <c r="P35" s="218"/>
    </row>
    <row r="36" customFormat="false" ht="14.25" hidden="true" customHeight="false" outlineLevel="1" collapsed="false">
      <c r="A36" s="215"/>
      <c r="E36" s="134"/>
      <c r="F36" s="107" t="s">
        <v>268</v>
      </c>
      <c r="G36" s="107"/>
      <c r="H36" s="50"/>
      <c r="I36" s="107"/>
      <c r="J36" s="107"/>
      <c r="K36" s="107"/>
      <c r="L36" s="50"/>
      <c r="M36" s="130" t="s">
        <v>269</v>
      </c>
      <c r="P36" s="218" t="s">
        <v>270</v>
      </c>
    </row>
    <row r="37" customFormat="false" ht="14.25" hidden="true" customHeight="false" outlineLevel="1" collapsed="false">
      <c r="A37" s="215"/>
      <c r="B37" s="130"/>
      <c r="C37" s="17"/>
      <c r="D37" s="107"/>
      <c r="E37" s="49"/>
      <c r="F37" s="107"/>
      <c r="G37" s="107"/>
      <c r="H37" s="50"/>
      <c r="I37" s="49"/>
      <c r="J37" s="13"/>
      <c r="K37" s="107"/>
      <c r="L37" s="50"/>
      <c r="M37" s="216"/>
      <c r="O37" s="217"/>
      <c r="P37" s="218"/>
    </row>
    <row r="38" customFormat="false" ht="14.25" hidden="true" customHeight="false" outlineLevel="1" collapsed="false">
      <c r="A38" s="215"/>
      <c r="B38" s="130" t="s">
        <v>232</v>
      </c>
      <c r="E38" s="134"/>
      <c r="F38" s="107"/>
      <c r="G38" s="107"/>
      <c r="H38" s="50"/>
      <c r="I38" s="107"/>
      <c r="J38" s="107"/>
      <c r="K38" s="107"/>
      <c r="L38" s="50"/>
      <c r="M38" s="130"/>
      <c r="O38" s="5" t="s">
        <v>271</v>
      </c>
      <c r="P38" s="218" t="s">
        <v>272</v>
      </c>
    </row>
    <row r="39" customFormat="false" ht="14.25" hidden="false" customHeight="false" outlineLevel="0" collapsed="false">
      <c r="A39" s="209" t="s">
        <v>273</v>
      </c>
      <c r="B39" s="210"/>
      <c r="C39" s="211" t="str">
        <f aca="false">DEC2HEX(D39,2)</f>
        <v>07</v>
      </c>
      <c r="D39" s="161" t="n">
        <f aca="false">IF(E39=1,128,0)+IF(F39=1,64,0)+IF(G39=1,32,0)+IF(H39=1,16,0)+IF(I39=1,8,0)+IF(J39=1,4,0)+IF(K39=1,2,0)+IF(L39=1,1,0)</f>
        <v>7</v>
      </c>
      <c r="E39" s="178"/>
      <c r="F39" s="161"/>
      <c r="G39" s="161"/>
      <c r="H39" s="165"/>
      <c r="I39" s="161" t="n">
        <v>0</v>
      </c>
      <c r="J39" s="161" t="n">
        <v>1</v>
      </c>
      <c r="K39" s="161" t="n">
        <v>1</v>
      </c>
      <c r="L39" s="165" t="n">
        <v>1</v>
      </c>
      <c r="M39" s="212" t="s">
        <v>274</v>
      </c>
      <c r="N39" s="210"/>
      <c r="O39" s="212"/>
      <c r="P39" s="214"/>
    </row>
    <row r="40" customFormat="false" ht="14.25" hidden="true" customHeight="false" outlineLevel="1" collapsed="false">
      <c r="A40" s="215"/>
      <c r="E40" s="134"/>
      <c r="F40" s="107"/>
      <c r="G40" s="107" t="n">
        <v>0</v>
      </c>
      <c r="H40" s="50" t="n">
        <v>0</v>
      </c>
      <c r="I40" s="107"/>
      <c r="J40" s="107"/>
      <c r="K40" s="107"/>
      <c r="L40" s="50"/>
      <c r="M40" s="130" t="s">
        <v>275</v>
      </c>
      <c r="P40" s="220" t="s">
        <v>276</v>
      </c>
    </row>
    <row r="41" customFormat="false" ht="14.25" hidden="true" customHeight="false" outlineLevel="1" collapsed="false">
      <c r="A41" s="215"/>
      <c r="E41" s="134"/>
      <c r="F41" s="107"/>
      <c r="G41" s="107" t="n">
        <v>0</v>
      </c>
      <c r="H41" s="50" t="n">
        <v>1</v>
      </c>
      <c r="I41" s="107"/>
      <c r="J41" s="107"/>
      <c r="K41" s="107"/>
      <c r="L41" s="50"/>
      <c r="M41" s="216" t="s">
        <v>265</v>
      </c>
      <c r="P41" s="220" t="s">
        <v>277</v>
      </c>
    </row>
    <row r="42" customFormat="false" ht="14.25" hidden="true" customHeight="false" outlineLevel="1" collapsed="false">
      <c r="A42" s="215"/>
      <c r="E42" s="134"/>
      <c r="F42" s="107"/>
      <c r="G42" s="107" t="n">
        <v>1</v>
      </c>
      <c r="H42" s="50" t="n">
        <v>0</v>
      </c>
      <c r="I42" s="107"/>
      <c r="J42" s="107"/>
      <c r="K42" s="107"/>
      <c r="L42" s="50"/>
      <c r="M42" s="216" t="s">
        <v>266</v>
      </c>
      <c r="P42" s="220" t="s">
        <v>278</v>
      </c>
    </row>
    <row r="43" customFormat="false" ht="14.25" hidden="true" customHeight="false" outlineLevel="1" collapsed="false">
      <c r="A43" s="215"/>
      <c r="E43" s="134"/>
      <c r="F43" s="107"/>
      <c r="G43" s="107" t="n">
        <v>1</v>
      </c>
      <c r="H43" s="50" t="n">
        <v>1</v>
      </c>
      <c r="I43" s="107"/>
      <c r="J43" s="107"/>
      <c r="K43" s="107"/>
      <c r="L43" s="50"/>
      <c r="M43" s="10" t="s">
        <v>267</v>
      </c>
      <c r="P43" s="220" t="s">
        <v>279</v>
      </c>
    </row>
    <row r="44" customFormat="false" ht="14.25" hidden="true" customHeight="false" outlineLevel="1" collapsed="false">
      <c r="A44" s="215"/>
      <c r="E44" s="134"/>
      <c r="F44" s="107"/>
      <c r="G44" s="107"/>
      <c r="H44" s="50"/>
      <c r="I44" s="107"/>
      <c r="J44" s="107"/>
      <c r="K44" s="107"/>
      <c r="L44" s="50"/>
      <c r="M44" s="10"/>
      <c r="O44" s="1"/>
      <c r="P44" s="234" t="s">
        <v>280</v>
      </c>
    </row>
    <row r="45" customFormat="false" ht="14.25" hidden="true" customHeight="false" outlineLevel="1" collapsed="false">
      <c r="A45" s="215"/>
      <c r="E45" s="134"/>
      <c r="F45" s="107"/>
      <c r="G45" s="107"/>
      <c r="H45" s="50"/>
      <c r="I45" s="107"/>
      <c r="J45" s="107"/>
      <c r="K45" s="107"/>
      <c r="L45" s="50"/>
      <c r="M45" s="10"/>
      <c r="O45" s="1"/>
      <c r="P45" s="234" t="s">
        <v>281</v>
      </c>
    </row>
    <row r="46" customFormat="false" ht="14.25" hidden="true" customHeight="false" outlineLevel="1" collapsed="false">
      <c r="A46" s="215"/>
      <c r="E46" s="134"/>
      <c r="F46" s="107"/>
      <c r="G46" s="107"/>
      <c r="H46" s="50"/>
      <c r="I46" s="107"/>
      <c r="J46" s="107"/>
      <c r="K46" s="107"/>
      <c r="L46" s="50"/>
      <c r="M46" s="10"/>
      <c r="O46" s="1"/>
      <c r="P46" s="234" t="s">
        <v>282</v>
      </c>
    </row>
    <row r="47" customFormat="false" ht="14.25" hidden="true" customHeight="false" outlineLevel="1" collapsed="false">
      <c r="A47" s="215"/>
      <c r="B47" s="130"/>
      <c r="C47" s="17"/>
      <c r="D47" s="107"/>
      <c r="E47" s="49"/>
      <c r="F47" s="107"/>
      <c r="G47" s="107"/>
      <c r="H47" s="50"/>
      <c r="I47" s="49"/>
      <c r="J47" s="13"/>
      <c r="K47" s="107"/>
      <c r="L47" s="50"/>
      <c r="M47" s="216"/>
      <c r="O47" s="217"/>
      <c r="P47" s="218"/>
    </row>
    <row r="48" customFormat="false" ht="14.25" hidden="true" customHeight="false" outlineLevel="1" collapsed="false">
      <c r="A48" s="215"/>
      <c r="B48" s="216" t="s">
        <v>232</v>
      </c>
      <c r="C48" s="17"/>
      <c r="D48" s="107"/>
      <c r="E48" s="49"/>
      <c r="F48" s="107"/>
      <c r="G48" s="107"/>
      <c r="H48" s="50"/>
      <c r="I48" s="49"/>
      <c r="J48" s="13"/>
      <c r="K48" s="107"/>
      <c r="L48" s="50"/>
      <c r="M48" s="216"/>
      <c r="N48" s="1" t="s">
        <v>283</v>
      </c>
      <c r="O48" s="217" t="s">
        <v>284</v>
      </c>
      <c r="P48" s="218"/>
    </row>
    <row r="49" customFormat="false" ht="14.25" hidden="true" customHeight="false" outlineLevel="1" collapsed="false">
      <c r="A49" s="235"/>
      <c r="B49" s="216" t="s">
        <v>232</v>
      </c>
      <c r="C49" s="236"/>
      <c r="D49" s="140"/>
      <c r="E49" s="237"/>
      <c r="F49" s="140"/>
      <c r="G49" s="140"/>
      <c r="H49" s="143"/>
      <c r="I49" s="140"/>
      <c r="J49" s="140"/>
      <c r="K49" s="140"/>
      <c r="L49" s="143"/>
      <c r="M49" s="238"/>
      <c r="N49" s="14" t="s">
        <v>1</v>
      </c>
      <c r="O49" s="1" t="s">
        <v>283</v>
      </c>
      <c r="P49" s="221" t="s">
        <v>247</v>
      </c>
    </row>
    <row r="50" customFormat="false" ht="14.25" hidden="false" customHeight="false" outlineLevel="0" collapsed="false">
      <c r="A50" s="209"/>
      <c r="B50" s="210"/>
      <c r="C50" s="211" t="str">
        <f aca="false">DEC2HEX(D50,2)</f>
        <v>08</v>
      </c>
      <c r="D50" s="161" t="n">
        <f aca="false">IF(E50=1,128,0)+IF(F50=1,64,0)+IF(G50=1,32,0)+IF(H50=1,16,0)+IF(I50=1,8,0)+IF(J50=1,4,0)+IF(K50=1,2,0)+IF(L50=1,1,0)</f>
        <v>8</v>
      </c>
      <c r="E50" s="178"/>
      <c r="F50" s="161"/>
      <c r="G50" s="161"/>
      <c r="H50" s="165"/>
      <c r="I50" s="161" t="n">
        <v>1</v>
      </c>
      <c r="J50" s="161" t="n">
        <v>0</v>
      </c>
      <c r="K50" s="161" t="n">
        <v>0</v>
      </c>
      <c r="L50" s="165" t="n">
        <v>0</v>
      </c>
      <c r="M50" s="212"/>
      <c r="N50" s="210"/>
      <c r="O50" s="212"/>
      <c r="P50" s="214"/>
    </row>
    <row r="51" customFormat="false" ht="14.25" hidden="true" customHeight="false" outlineLevel="1" collapsed="false">
      <c r="A51" s="215"/>
      <c r="B51" s="130"/>
      <c r="C51" s="17"/>
      <c r="D51" s="107"/>
      <c r="E51" s="49"/>
      <c r="F51" s="107"/>
      <c r="G51" s="107"/>
      <c r="H51" s="50"/>
      <c r="I51" s="49"/>
      <c r="J51" s="13"/>
      <c r="K51" s="107"/>
      <c r="L51" s="50"/>
      <c r="M51" s="216"/>
      <c r="O51" s="217"/>
      <c r="P51" s="218"/>
    </row>
    <row r="52" customFormat="false" ht="14.25" hidden="false" customHeight="false" outlineLevel="0" collapsed="false">
      <c r="A52" s="209"/>
      <c r="B52" s="210"/>
      <c r="C52" s="211" t="str">
        <f aca="false">DEC2HEX(D52,2)</f>
        <v>09</v>
      </c>
      <c r="D52" s="161" t="n">
        <f aca="false">IF(E52=1,128,0)+IF(F52=1,64,0)+IF(G52=1,32,0)+IF(H52=1,16,0)+IF(I52=1,8,0)+IF(J52=1,4,0)+IF(K52=1,2,0)+IF(L52=1,1,0)</f>
        <v>9</v>
      </c>
      <c r="E52" s="178"/>
      <c r="F52" s="161"/>
      <c r="G52" s="161"/>
      <c r="H52" s="165"/>
      <c r="I52" s="161" t="n">
        <v>1</v>
      </c>
      <c r="J52" s="161" t="n">
        <v>0</v>
      </c>
      <c r="K52" s="161" t="n">
        <v>0</v>
      </c>
      <c r="L52" s="165" t="n">
        <v>1</v>
      </c>
      <c r="M52" s="212"/>
      <c r="N52" s="210"/>
      <c r="O52" s="212"/>
      <c r="P52" s="214"/>
    </row>
    <row r="53" customFormat="false" ht="14.25" hidden="true" customHeight="false" outlineLevel="1" collapsed="false">
      <c r="A53" s="215"/>
      <c r="B53" s="130"/>
      <c r="C53" s="17"/>
      <c r="D53" s="107"/>
      <c r="E53" s="49"/>
      <c r="F53" s="107"/>
      <c r="G53" s="107"/>
      <c r="H53" s="50"/>
      <c r="I53" s="49"/>
      <c r="J53" s="13"/>
      <c r="K53" s="107"/>
      <c r="L53" s="50"/>
      <c r="M53" s="216"/>
      <c r="O53" s="217"/>
      <c r="P53" s="218"/>
    </row>
    <row r="54" customFormat="false" ht="14.25" hidden="false" customHeight="false" outlineLevel="0" collapsed="false">
      <c r="A54" s="209" t="s">
        <v>285</v>
      </c>
      <c r="B54" s="210"/>
      <c r="C54" s="211" t="str">
        <f aca="false">DEC2HEX(D54,2)</f>
        <v>0A</v>
      </c>
      <c r="D54" s="161" t="n">
        <f aca="false">IF(E54=1,128,0)+IF(F54=1,64,0)+IF(G54=1,32,0)+IF(H54=1,16,0)+IF(I54=1,8,0)+IF(J54=1,4,0)+IF(K54=1,2,0)+IF(L54=1,1,0)</f>
        <v>10</v>
      </c>
      <c r="E54" s="178"/>
      <c r="F54" s="161"/>
      <c r="G54" s="161"/>
      <c r="H54" s="165"/>
      <c r="I54" s="161" t="n">
        <v>1</v>
      </c>
      <c r="J54" s="161" t="n">
        <v>0</v>
      </c>
      <c r="K54" s="161" t="n">
        <v>1</v>
      </c>
      <c r="L54" s="165" t="n">
        <v>0</v>
      </c>
      <c r="M54" s="212" t="s">
        <v>286</v>
      </c>
      <c r="N54" s="210"/>
      <c r="O54" s="212"/>
      <c r="P54" s="214"/>
    </row>
    <row r="55" customFormat="false" ht="14.25" hidden="true" customHeight="false" outlineLevel="1" collapsed="false">
      <c r="A55" s="215"/>
      <c r="B55" s="130"/>
      <c r="C55" s="17"/>
      <c r="D55" s="107"/>
      <c r="E55" s="49"/>
      <c r="F55" s="107"/>
      <c r="G55" s="107"/>
      <c r="H55" s="50"/>
      <c r="I55" s="49"/>
      <c r="J55" s="13"/>
      <c r="K55" s="107"/>
      <c r="L55" s="50"/>
      <c r="M55" s="216"/>
      <c r="O55" s="217"/>
      <c r="P55" s="218"/>
    </row>
    <row r="56" customFormat="false" ht="14.25" hidden="true" customHeight="false" outlineLevel="1" collapsed="false">
      <c r="A56" s="215"/>
      <c r="B56" s="216" t="s">
        <v>232</v>
      </c>
      <c r="E56" s="134"/>
      <c r="F56" s="107"/>
      <c r="G56" s="107"/>
      <c r="H56" s="50"/>
      <c r="I56" s="107"/>
      <c r="J56" s="107"/>
      <c r="K56" s="107"/>
      <c r="L56" s="50"/>
      <c r="M56" s="130"/>
      <c r="N56" s="10" t="s">
        <v>1</v>
      </c>
      <c r="O56" s="14" t="s">
        <v>287</v>
      </c>
      <c r="P56" s="218" t="s">
        <v>288</v>
      </c>
    </row>
    <row r="57" customFormat="false" ht="14.25" hidden="false" customHeight="false" outlineLevel="0" collapsed="false">
      <c r="A57" s="209"/>
      <c r="B57" s="210"/>
      <c r="C57" s="211" t="str">
        <f aca="false">DEC2HEX(D57,2)</f>
        <v>0B</v>
      </c>
      <c r="D57" s="161" t="n">
        <f aca="false">IF(E57=1,128,0)+IF(F57=1,64,0)+IF(G57=1,32,0)+IF(H57=1,16,0)+IF(I57=1,8,0)+IF(J57=1,4,0)+IF(K57=1,2,0)+IF(L57=1,1,0)</f>
        <v>11</v>
      </c>
      <c r="E57" s="178"/>
      <c r="F57" s="161"/>
      <c r="G57" s="161"/>
      <c r="H57" s="165"/>
      <c r="I57" s="161" t="n">
        <v>1</v>
      </c>
      <c r="J57" s="161" t="n">
        <v>0</v>
      </c>
      <c r="K57" s="161" t="n">
        <v>1</v>
      </c>
      <c r="L57" s="165" t="n">
        <v>1</v>
      </c>
      <c r="M57" s="212"/>
      <c r="N57" s="210"/>
      <c r="O57" s="212"/>
      <c r="P57" s="214"/>
    </row>
    <row r="58" customFormat="false" ht="14.25" hidden="true" customHeight="false" outlineLevel="1" collapsed="false">
      <c r="A58" s="215"/>
      <c r="B58" s="130"/>
      <c r="C58" s="17"/>
      <c r="D58" s="107"/>
      <c r="E58" s="49"/>
      <c r="F58" s="107"/>
      <c r="G58" s="107"/>
      <c r="H58" s="50"/>
      <c r="I58" s="49"/>
      <c r="J58" s="13"/>
      <c r="K58" s="107"/>
      <c r="L58" s="50"/>
      <c r="M58" s="216"/>
      <c r="O58" s="217"/>
      <c r="P58" s="218"/>
    </row>
    <row r="59" customFormat="false" ht="14.25" hidden="false" customHeight="false" outlineLevel="0" collapsed="false">
      <c r="A59" s="209"/>
      <c r="B59" s="210"/>
      <c r="C59" s="211" t="str">
        <f aca="false">DEC2HEX(D59,2)</f>
        <v>0C</v>
      </c>
      <c r="D59" s="161" t="n">
        <f aca="false">IF(E59=1,128,0)+IF(F59=1,64,0)+IF(G59=1,32,0)+IF(H59=1,16,0)+IF(I59=1,8,0)+IF(J59=1,4,0)+IF(K59=1,2,0)+IF(L59=1,1,0)</f>
        <v>12</v>
      </c>
      <c r="E59" s="178"/>
      <c r="F59" s="161"/>
      <c r="G59" s="161"/>
      <c r="H59" s="165"/>
      <c r="I59" s="161" t="n">
        <v>1</v>
      </c>
      <c r="J59" s="161" t="n">
        <v>1</v>
      </c>
      <c r="K59" s="161" t="n">
        <v>0</v>
      </c>
      <c r="L59" s="165" t="n">
        <v>0</v>
      </c>
      <c r="M59" s="210"/>
      <c r="N59" s="210"/>
      <c r="O59" s="212"/>
      <c r="P59" s="214"/>
    </row>
    <row r="60" customFormat="false" ht="14.25" hidden="true" customHeight="false" outlineLevel="1" collapsed="false">
      <c r="A60" s="215"/>
      <c r="E60" s="134"/>
      <c r="F60" s="107"/>
      <c r="G60" s="107"/>
      <c r="H60" s="50"/>
      <c r="I60" s="107"/>
      <c r="J60" s="107"/>
      <c r="K60" s="107"/>
      <c r="L60" s="50"/>
      <c r="M60" s="216"/>
      <c r="N60" s="216"/>
      <c r="O60" s="130"/>
      <c r="P60" s="218"/>
    </row>
    <row r="61" customFormat="false" ht="14.25" hidden="false" customHeight="false" outlineLevel="0" collapsed="false">
      <c r="A61" s="209"/>
      <c r="B61" s="210"/>
      <c r="C61" s="211" t="str">
        <f aca="false">DEC2HEX(D61,2)</f>
        <v>0D</v>
      </c>
      <c r="D61" s="161" t="n">
        <f aca="false">IF(E61=1,128,0)+IF(F61=1,64,0)+IF(G61=1,32,0)+IF(H61=1,16,0)+IF(I61=1,8,0)+IF(J61=1,4,0)+IF(K61=1,2,0)+IF(L61=1,1,0)</f>
        <v>13</v>
      </c>
      <c r="E61" s="178"/>
      <c r="F61" s="161"/>
      <c r="G61" s="161"/>
      <c r="H61" s="165"/>
      <c r="I61" s="161" t="n">
        <v>1</v>
      </c>
      <c r="J61" s="161" t="n">
        <v>1</v>
      </c>
      <c r="K61" s="161" t="n">
        <v>0</v>
      </c>
      <c r="L61" s="165" t="n">
        <v>1</v>
      </c>
      <c r="M61" s="210"/>
      <c r="N61" s="210"/>
      <c r="O61" s="212"/>
      <c r="P61" s="214"/>
    </row>
    <row r="62" customFormat="false" ht="14.25" hidden="true" customHeight="false" outlineLevel="1" collapsed="false">
      <c r="A62" s="215"/>
      <c r="E62" s="134"/>
      <c r="F62" s="107"/>
      <c r="G62" s="107"/>
      <c r="H62" s="50"/>
      <c r="I62" s="107"/>
      <c r="J62" s="107"/>
      <c r="K62" s="107"/>
      <c r="L62" s="50"/>
      <c r="M62" s="216"/>
      <c r="N62" s="216"/>
      <c r="O62" s="130"/>
      <c r="P62" s="218"/>
    </row>
    <row r="63" customFormat="false" ht="14.25" hidden="false" customHeight="false" outlineLevel="0" collapsed="false">
      <c r="A63" s="209"/>
      <c r="B63" s="210"/>
      <c r="C63" s="211" t="str">
        <f aca="false">DEC2HEX(D63,2)</f>
        <v>0E</v>
      </c>
      <c r="D63" s="161" t="n">
        <f aca="false">IF(E63=1,128,0)+IF(F63=1,64,0)+IF(G63=1,32,0)+IF(H63=1,16,0)+IF(I63=1,8,0)+IF(J63=1,4,0)+IF(K63=1,2,0)+IF(L63=1,1,0)</f>
        <v>14</v>
      </c>
      <c r="E63" s="178"/>
      <c r="F63" s="161"/>
      <c r="G63" s="161"/>
      <c r="H63" s="165"/>
      <c r="I63" s="161" t="n">
        <v>1</v>
      </c>
      <c r="J63" s="161" t="n">
        <v>1</v>
      </c>
      <c r="K63" s="161" t="n">
        <v>1</v>
      </c>
      <c r="L63" s="165" t="n">
        <v>0</v>
      </c>
      <c r="M63" s="210"/>
      <c r="N63" s="210"/>
      <c r="O63" s="212"/>
      <c r="P63" s="214"/>
    </row>
    <row r="64" customFormat="false" ht="14.25" hidden="true" customHeight="false" outlineLevel="1" collapsed="false">
      <c r="A64" s="215"/>
      <c r="E64" s="134"/>
      <c r="F64" s="107"/>
      <c r="G64" s="107"/>
      <c r="H64" s="50"/>
      <c r="I64" s="107"/>
      <c r="J64" s="107"/>
      <c r="K64" s="107"/>
      <c r="L64" s="50"/>
      <c r="M64" s="216"/>
      <c r="N64" s="216"/>
      <c r="O64" s="130"/>
      <c r="P64" s="218"/>
    </row>
    <row r="65" customFormat="false" ht="14.25" hidden="false" customHeight="false" outlineLevel="0" collapsed="false">
      <c r="A65" s="209"/>
      <c r="B65" s="210"/>
      <c r="C65" s="211" t="str">
        <f aca="false">DEC2HEX(D65,2)</f>
        <v>0F</v>
      </c>
      <c r="D65" s="161" t="n">
        <f aca="false">IF(E65=1,128,0)+IF(F65=1,64,0)+IF(G65=1,32,0)+IF(H65=1,16,0)+IF(I65=1,8,0)+IF(J65=1,4,0)+IF(K65=1,2,0)+IF(L65=1,1,0)</f>
        <v>15</v>
      </c>
      <c r="E65" s="178"/>
      <c r="F65" s="161"/>
      <c r="G65" s="161"/>
      <c r="H65" s="165"/>
      <c r="I65" s="161" t="n">
        <v>1</v>
      </c>
      <c r="J65" s="161" t="n">
        <v>1</v>
      </c>
      <c r="K65" s="161" t="n">
        <v>1</v>
      </c>
      <c r="L65" s="165" t="n">
        <v>1</v>
      </c>
      <c r="M65" s="210"/>
      <c r="N65" s="210"/>
      <c r="O65" s="212"/>
      <c r="P65" s="214"/>
    </row>
    <row r="66" customFormat="false" ht="14.25" hidden="true" customHeight="false" outlineLevel="1" collapsed="false">
      <c r="A66" s="215"/>
      <c r="E66" s="134"/>
      <c r="F66" s="107"/>
      <c r="G66" s="107"/>
      <c r="H66" s="50"/>
      <c r="I66" s="107"/>
      <c r="J66" s="107"/>
      <c r="K66" s="107"/>
      <c r="L66" s="50"/>
      <c r="M66" s="216"/>
      <c r="N66" s="216"/>
      <c r="O66" s="130"/>
      <c r="P66" s="218"/>
    </row>
    <row r="67" customFormat="false" ht="14.25" hidden="false" customHeight="false" outlineLevel="0" collapsed="false">
      <c r="A67" s="215"/>
      <c r="E67" s="134"/>
      <c r="F67" s="107"/>
      <c r="G67" s="107"/>
      <c r="H67" s="50"/>
      <c r="I67" s="107"/>
      <c r="J67" s="107"/>
      <c r="K67" s="107"/>
      <c r="L67" s="50"/>
      <c r="M67" s="216"/>
      <c r="N67" s="216"/>
      <c r="O67" s="130"/>
      <c r="P67" s="218"/>
    </row>
    <row r="68" customFormat="false" ht="14.25" hidden="false" customHeight="false" outlineLevel="0" collapsed="false">
      <c r="A68" s="215"/>
      <c r="E68" s="134"/>
      <c r="F68" s="107"/>
      <c r="G68" s="107"/>
      <c r="H68" s="50"/>
      <c r="I68" s="107"/>
      <c r="J68" s="107"/>
      <c r="K68" s="107"/>
      <c r="L68" s="50"/>
      <c r="M68" s="216"/>
      <c r="N68" s="216"/>
      <c r="O68" s="130"/>
      <c r="P68" s="218"/>
    </row>
    <row r="69" customFormat="false" ht="100" hidden="false" customHeight="false" outlineLevel="0" collapsed="false">
      <c r="A69" s="239" t="s">
        <v>289</v>
      </c>
      <c r="E69" s="134"/>
      <c r="F69" s="191" t="s">
        <v>290</v>
      </c>
      <c r="G69" s="191" t="s">
        <v>291</v>
      </c>
      <c r="H69" s="191" t="s">
        <v>291</v>
      </c>
      <c r="I69" s="191"/>
      <c r="J69" s="191"/>
      <c r="K69" s="191" t="s">
        <v>292</v>
      </c>
      <c r="L69" s="191" t="s">
        <v>293</v>
      </c>
      <c r="M69" s="216"/>
      <c r="N69" s="216"/>
      <c r="O69" s="130"/>
      <c r="P69" s="218"/>
    </row>
    <row r="70" customFormat="false" ht="14.25" hidden="false" customHeight="false" outlineLevel="0" collapsed="false">
      <c r="A70" s="209" t="s">
        <v>211</v>
      </c>
      <c r="B70" s="212"/>
      <c r="C70" s="211"/>
      <c r="D70" s="161"/>
      <c r="E70" s="178"/>
      <c r="F70" s="161"/>
      <c r="G70" s="161"/>
      <c r="H70" s="165"/>
      <c r="I70" s="178"/>
      <c r="J70" s="161"/>
      <c r="K70" s="161"/>
      <c r="L70" s="165"/>
      <c r="M70" s="210"/>
      <c r="N70" s="210"/>
      <c r="O70" s="212"/>
      <c r="P70" s="214"/>
    </row>
    <row r="71" customFormat="false" ht="14.25" hidden="true" customHeight="false" outlineLevel="1" collapsed="false">
      <c r="A71" s="240" t="s">
        <v>294</v>
      </c>
      <c r="B71" s="181"/>
      <c r="C71" s="205" t="str">
        <f aca="false">DEC2HEX(D71,2)</f>
        <v>00</v>
      </c>
      <c r="D71" s="183" t="n">
        <f aca="false">IF(E71=1,128,0)+IF(F71=1,64,0)+IF(G71=1,32,0)+IF(H71=1,16,0)+IF(I71=1,8,0)+IF(J71=1,4,0)+IF(K71=1,2,0)+IF(L71=1,1,0)</f>
        <v>0</v>
      </c>
      <c r="E71" s="241" t="n">
        <v>0</v>
      </c>
      <c r="F71" s="195" t="n">
        <v>0</v>
      </c>
      <c r="G71" s="195" t="n">
        <v>0</v>
      </c>
      <c r="H71" s="242" t="n">
        <v>0</v>
      </c>
      <c r="I71" s="241" t="n">
        <v>0</v>
      </c>
      <c r="J71" s="195" t="n">
        <v>0</v>
      </c>
      <c r="K71" s="195" t="n">
        <v>0</v>
      </c>
      <c r="L71" s="242" t="n">
        <v>0</v>
      </c>
      <c r="M71" s="243"/>
      <c r="N71" s="243"/>
      <c r="O71" s="181"/>
      <c r="P71" s="244"/>
    </row>
    <row r="72" customFormat="false" ht="14.25" hidden="true" customHeight="false" outlineLevel="1" collapsed="false">
      <c r="A72" s="215" t="s">
        <v>295</v>
      </c>
      <c r="B72" s="130"/>
      <c r="C72" s="20" t="str">
        <f aca="false">DEC2HEX(D72,2)</f>
        <v>10</v>
      </c>
      <c r="D72" s="2" t="n">
        <f aca="false">IF(E72=1,128,0)+IF(F72=1,64,0)+IF(G72=1,32,0)+IF(H72=1,16,0)+IF(I72=1,8,0)+IF(J72=1,4,0)+IF(K72=1,2,0)+IF(L72=1,1,0)</f>
        <v>16</v>
      </c>
      <c r="E72" s="49" t="n">
        <v>0</v>
      </c>
      <c r="F72" s="107" t="n">
        <v>0</v>
      </c>
      <c r="G72" s="107" t="n">
        <v>0</v>
      </c>
      <c r="H72" s="50" t="n">
        <v>1</v>
      </c>
      <c r="I72" s="49" t="n">
        <v>0</v>
      </c>
      <c r="J72" s="107" t="n">
        <v>0</v>
      </c>
      <c r="K72" s="107" t="n">
        <v>0</v>
      </c>
      <c r="L72" s="50" t="n">
        <v>0</v>
      </c>
      <c r="M72" s="216"/>
      <c r="N72" s="216"/>
      <c r="O72" s="130"/>
      <c r="P72" s="218"/>
    </row>
    <row r="73" customFormat="false" ht="14.25" hidden="true" customHeight="false" outlineLevel="1" collapsed="false">
      <c r="A73" s="215" t="s">
        <v>296</v>
      </c>
      <c r="B73" s="130"/>
      <c r="C73" s="20" t="str">
        <f aca="false">DEC2HEX(D73,2)</f>
        <v>20</v>
      </c>
      <c r="D73" s="2" t="n">
        <f aca="false">IF(E73=1,128,0)+IF(F73=1,64,0)+IF(G73=1,32,0)+IF(H73=1,16,0)+IF(I73=1,8,0)+IF(J73=1,4,0)+IF(K73=1,2,0)+IF(L73=1,1,0)</f>
        <v>32</v>
      </c>
      <c r="E73" s="49" t="n">
        <v>0</v>
      </c>
      <c r="F73" s="107" t="n">
        <v>0</v>
      </c>
      <c r="G73" s="107" t="n">
        <v>1</v>
      </c>
      <c r="H73" s="50" t="n">
        <v>0</v>
      </c>
      <c r="I73" s="49" t="n">
        <v>0</v>
      </c>
      <c r="J73" s="107" t="n">
        <v>0</v>
      </c>
      <c r="K73" s="107" t="n">
        <v>0</v>
      </c>
      <c r="L73" s="50" t="n">
        <v>0</v>
      </c>
      <c r="M73" s="216"/>
      <c r="N73" s="216"/>
      <c r="O73" s="130"/>
      <c r="P73" s="218"/>
    </row>
    <row r="74" customFormat="false" ht="14.25" hidden="true" customHeight="false" outlineLevel="1" collapsed="false">
      <c r="A74" s="235" t="s">
        <v>297</v>
      </c>
      <c r="B74" s="238"/>
      <c r="C74" s="236" t="str">
        <f aca="false">DEC2HEX(D74,2)</f>
        <v>30</v>
      </c>
      <c r="D74" s="140" t="n">
        <f aca="false">IF(E74=1,128,0)+IF(F74=1,64,0)+IF(G74=1,32,0)+IF(H74=1,16,0)+IF(I74=1,8,0)+IF(J74=1,4,0)+IF(K74=1,2,0)+IF(L74=1,1,0)</f>
        <v>48</v>
      </c>
      <c r="E74" s="237" t="n">
        <v>0</v>
      </c>
      <c r="F74" s="140" t="n">
        <v>0</v>
      </c>
      <c r="G74" s="140" t="n">
        <v>1</v>
      </c>
      <c r="H74" s="143" t="n">
        <v>1</v>
      </c>
      <c r="I74" s="237" t="n">
        <v>0</v>
      </c>
      <c r="J74" s="140" t="n">
        <v>0</v>
      </c>
      <c r="K74" s="140" t="n">
        <v>0</v>
      </c>
      <c r="L74" s="143" t="n">
        <v>0</v>
      </c>
      <c r="M74" s="245"/>
      <c r="N74" s="245"/>
      <c r="O74" s="238"/>
      <c r="P74" s="246"/>
    </row>
    <row r="75" customFormat="false" ht="14.25" hidden="true" customHeight="false" outlineLevel="1" collapsed="false">
      <c r="A75" s="240" t="s">
        <v>298</v>
      </c>
      <c r="B75" s="181"/>
      <c r="C75" s="205" t="str">
        <f aca="false">DEC2HEX(D75,2)</f>
        <v>40</v>
      </c>
      <c r="D75" s="183" t="n">
        <f aca="false">IF(E75=1,128,0)+IF(F75=1,64,0)+IF(G75=1,32,0)+IF(H75=1,16,0)+IF(I75=1,8,0)+IF(J75=1,4,0)+IF(K75=1,2,0)+IF(L75=1,1,0)</f>
        <v>64</v>
      </c>
      <c r="E75" s="241" t="n">
        <v>0</v>
      </c>
      <c r="F75" s="195" t="n">
        <v>1</v>
      </c>
      <c r="G75" s="195" t="n">
        <v>0</v>
      </c>
      <c r="H75" s="242" t="n">
        <v>0</v>
      </c>
      <c r="I75" s="241" t="n">
        <v>0</v>
      </c>
      <c r="J75" s="195" t="n">
        <v>0</v>
      </c>
      <c r="K75" s="195" t="n">
        <v>0</v>
      </c>
      <c r="L75" s="242" t="n">
        <v>0</v>
      </c>
      <c r="M75" s="243"/>
      <c r="N75" s="243"/>
      <c r="O75" s="181"/>
      <c r="P75" s="244"/>
    </row>
    <row r="76" customFormat="false" ht="14.25" hidden="true" customHeight="false" outlineLevel="1" collapsed="false">
      <c r="A76" s="215" t="s">
        <v>299</v>
      </c>
      <c r="B76" s="130"/>
      <c r="C76" s="20" t="str">
        <f aca="false">DEC2HEX(D76,2)</f>
        <v>50</v>
      </c>
      <c r="D76" s="2" t="n">
        <f aca="false">IF(E76=1,128,0)+IF(F76=1,64,0)+IF(G76=1,32,0)+IF(H76=1,16,0)+IF(I76=1,8,0)+IF(J76=1,4,0)+IF(K76=1,2,0)+IF(L76=1,1,0)</f>
        <v>80</v>
      </c>
      <c r="E76" s="49" t="n">
        <v>0</v>
      </c>
      <c r="F76" s="107" t="n">
        <v>1</v>
      </c>
      <c r="G76" s="107" t="n">
        <v>0</v>
      </c>
      <c r="H76" s="50" t="n">
        <v>1</v>
      </c>
      <c r="I76" s="49" t="n">
        <v>0</v>
      </c>
      <c r="J76" s="107" t="n">
        <v>0</v>
      </c>
      <c r="K76" s="107" t="n">
        <v>0</v>
      </c>
      <c r="L76" s="50" t="n">
        <v>0</v>
      </c>
      <c r="M76" s="216"/>
      <c r="N76" s="216"/>
      <c r="O76" s="130"/>
      <c r="P76" s="218"/>
    </row>
    <row r="77" customFormat="false" ht="14.25" hidden="true" customHeight="false" outlineLevel="1" collapsed="false">
      <c r="A77" s="215" t="s">
        <v>300</v>
      </c>
      <c r="B77" s="130"/>
      <c r="C77" s="20" t="str">
        <f aca="false">DEC2HEX(D77,2)</f>
        <v>60</v>
      </c>
      <c r="D77" s="2" t="n">
        <f aca="false">IF(E77=1,128,0)+IF(F77=1,64,0)+IF(G77=1,32,0)+IF(H77=1,16,0)+IF(I77=1,8,0)+IF(J77=1,4,0)+IF(K77=1,2,0)+IF(L77=1,1,0)</f>
        <v>96</v>
      </c>
      <c r="E77" s="49" t="n">
        <v>0</v>
      </c>
      <c r="F77" s="107" t="n">
        <v>1</v>
      </c>
      <c r="G77" s="107" t="n">
        <v>1</v>
      </c>
      <c r="H77" s="50" t="n">
        <v>0</v>
      </c>
      <c r="I77" s="49" t="n">
        <v>0</v>
      </c>
      <c r="J77" s="107" t="n">
        <v>0</v>
      </c>
      <c r="K77" s="107" t="n">
        <v>0</v>
      </c>
      <c r="L77" s="50" t="n">
        <v>0</v>
      </c>
      <c r="M77" s="216"/>
      <c r="N77" s="216"/>
      <c r="O77" s="130"/>
      <c r="P77" s="218"/>
    </row>
    <row r="78" customFormat="false" ht="14.25" hidden="true" customHeight="false" outlineLevel="1" collapsed="false">
      <c r="A78" s="235" t="s">
        <v>301</v>
      </c>
      <c r="B78" s="238"/>
      <c r="C78" s="236" t="str">
        <f aca="false">DEC2HEX(D78,2)</f>
        <v>70</v>
      </c>
      <c r="D78" s="140" t="n">
        <f aca="false">IF(E78=1,128,0)+IF(F78=1,64,0)+IF(G78=1,32,0)+IF(H78=1,16,0)+IF(I78=1,8,0)+IF(J78=1,4,0)+IF(K78=1,2,0)+IF(L78=1,1,0)</f>
        <v>112</v>
      </c>
      <c r="E78" s="237" t="n">
        <v>0</v>
      </c>
      <c r="F78" s="140" t="n">
        <v>1</v>
      </c>
      <c r="G78" s="140" t="n">
        <v>1</v>
      </c>
      <c r="H78" s="143" t="n">
        <v>1</v>
      </c>
      <c r="I78" s="237" t="n">
        <v>0</v>
      </c>
      <c r="J78" s="140" t="n">
        <v>0</v>
      </c>
      <c r="K78" s="140" t="n">
        <v>0</v>
      </c>
      <c r="L78" s="143" t="n">
        <v>0</v>
      </c>
      <c r="M78" s="245"/>
      <c r="N78" s="245"/>
      <c r="O78" s="238"/>
      <c r="P78" s="246"/>
    </row>
    <row r="79" customFormat="false" ht="14.25" hidden="true" customHeight="false" outlineLevel="1" collapsed="false">
      <c r="A79" s="240" t="s">
        <v>302</v>
      </c>
      <c r="B79" s="247"/>
      <c r="C79" s="205" t="str">
        <f aca="false">DEC2HEX(D79,2)</f>
        <v>01</v>
      </c>
      <c r="D79" s="183" t="n">
        <f aca="false">IF(E79=1,128,0)+IF(F79=1,64,0)+IF(G79=1,32,0)+IF(H79=1,16,0)+IF(I79=1,8,0)+IF(J79=1,4,0)+IF(K79=1,2,0)+IF(L79=1,1,0)</f>
        <v>1</v>
      </c>
      <c r="E79" s="241" t="n">
        <v>0</v>
      </c>
      <c r="F79" s="183" t="n">
        <v>0</v>
      </c>
      <c r="G79" s="195" t="n">
        <v>0</v>
      </c>
      <c r="H79" s="242" t="n">
        <v>0</v>
      </c>
      <c r="I79" s="241" t="n">
        <v>0</v>
      </c>
      <c r="J79" s="195" t="n">
        <v>0</v>
      </c>
      <c r="K79" s="183" t="n">
        <v>0</v>
      </c>
      <c r="L79" s="242" t="n">
        <v>1</v>
      </c>
      <c r="M79" s="243"/>
      <c r="N79" s="243"/>
      <c r="O79" s="181"/>
      <c r="P79" s="244"/>
    </row>
    <row r="80" customFormat="false" ht="14.25" hidden="true" customHeight="false" outlineLevel="1" collapsed="false">
      <c r="A80" s="215" t="s">
        <v>303</v>
      </c>
      <c r="B80" s="130"/>
      <c r="C80" s="20" t="str">
        <f aca="false">DEC2HEX(D80,2)</f>
        <v>11</v>
      </c>
      <c r="D80" s="2" t="n">
        <f aca="false">IF(E80=1,128,0)+IF(F80=1,64,0)+IF(G80=1,32,0)+IF(H80=1,16,0)+IF(I80=1,8,0)+IF(J80=1,4,0)+IF(K80=1,2,0)+IF(L80=1,1,0)</f>
        <v>17</v>
      </c>
      <c r="E80" s="134" t="n">
        <v>0</v>
      </c>
      <c r="F80" s="2" t="n">
        <v>0</v>
      </c>
      <c r="G80" s="2" t="n">
        <v>0</v>
      </c>
      <c r="H80" s="50" t="n">
        <v>1</v>
      </c>
      <c r="I80" s="49" t="n">
        <v>0</v>
      </c>
      <c r="J80" s="2" t="n">
        <v>0</v>
      </c>
      <c r="K80" s="2" t="n">
        <v>0</v>
      </c>
      <c r="L80" s="50" t="n">
        <v>1</v>
      </c>
      <c r="P80" s="218"/>
    </row>
    <row r="81" customFormat="false" ht="14.25" hidden="true" customHeight="false" outlineLevel="1" collapsed="false">
      <c r="A81" s="215" t="s">
        <v>304</v>
      </c>
      <c r="B81" s="130"/>
      <c r="C81" s="20" t="str">
        <f aca="false">DEC2HEX(D81,2)</f>
        <v>21</v>
      </c>
      <c r="D81" s="2" t="n">
        <f aca="false">IF(E81=1,128,0)+IF(F81=1,64,0)+IF(G81=1,32,0)+IF(H81=1,16,0)+IF(I81=1,8,0)+IF(J81=1,4,0)+IF(K81=1,2,0)+IF(L81=1,1,0)</f>
        <v>33</v>
      </c>
      <c r="E81" s="134" t="n">
        <v>0</v>
      </c>
      <c r="F81" s="107" t="n">
        <v>0</v>
      </c>
      <c r="G81" s="107" t="n">
        <v>1</v>
      </c>
      <c r="H81" s="50" t="n">
        <v>0</v>
      </c>
      <c r="I81" s="49" t="n">
        <v>0</v>
      </c>
      <c r="J81" s="2" t="n">
        <v>0</v>
      </c>
      <c r="K81" s="2" t="n">
        <v>0</v>
      </c>
      <c r="L81" s="50" t="n">
        <v>1</v>
      </c>
      <c r="M81" s="10"/>
      <c r="N81" s="10"/>
      <c r="O81" s="130"/>
      <c r="P81" s="218"/>
    </row>
    <row r="82" customFormat="false" ht="14.25" hidden="true" customHeight="false" outlineLevel="1" collapsed="false">
      <c r="A82" s="235" t="s">
        <v>305</v>
      </c>
      <c r="B82" s="238"/>
      <c r="C82" s="236" t="str">
        <f aca="false">DEC2HEX(D82,2)</f>
        <v>31</v>
      </c>
      <c r="D82" s="140" t="n">
        <f aca="false">IF(E82=1,128,0)+IF(F82=1,64,0)+IF(G82=1,32,0)+IF(H82=1,16,0)+IF(I82=1,8,0)+IF(J82=1,4,0)+IF(K82=1,2,0)+IF(L82=1,1,0)</f>
        <v>49</v>
      </c>
      <c r="E82" s="237" t="n">
        <v>0</v>
      </c>
      <c r="F82" s="140" t="n">
        <v>0</v>
      </c>
      <c r="G82" s="140" t="n">
        <v>1</v>
      </c>
      <c r="H82" s="143" t="n">
        <v>1</v>
      </c>
      <c r="I82" s="237" t="n">
        <v>0</v>
      </c>
      <c r="J82" s="140" t="n">
        <v>0</v>
      </c>
      <c r="K82" s="140" t="n">
        <v>0</v>
      </c>
      <c r="L82" s="143" t="n">
        <v>1</v>
      </c>
      <c r="M82" s="245"/>
      <c r="N82" s="245"/>
      <c r="O82" s="238"/>
      <c r="P82" s="246"/>
    </row>
    <row r="83" customFormat="false" ht="14.25" hidden="true" customHeight="false" outlineLevel="1" collapsed="false">
      <c r="A83" s="240" t="s">
        <v>306</v>
      </c>
      <c r="B83" s="181"/>
      <c r="C83" s="205" t="str">
        <f aca="false">DEC2HEX(D83,2)</f>
        <v>04</v>
      </c>
      <c r="D83" s="183" t="n">
        <f aca="false">IF(E83=1,128,0)+IF(F83=1,64,0)+IF(G83=1,32,0)+IF(H83=1,16,0)+IF(I83=1,8,0)+IF(J83=1,4,0)+IF(K83=1,2,0)+IF(L83=1,1,0)</f>
        <v>4</v>
      </c>
      <c r="E83" s="241" t="n">
        <v>0</v>
      </c>
      <c r="F83" s="195" t="n">
        <v>0</v>
      </c>
      <c r="G83" s="195" t="n">
        <v>0</v>
      </c>
      <c r="H83" s="242" t="n">
        <v>0</v>
      </c>
      <c r="I83" s="241" t="n">
        <v>0</v>
      </c>
      <c r="J83" s="195" t="n">
        <v>1</v>
      </c>
      <c r="K83" s="195" t="n">
        <v>0</v>
      </c>
      <c r="L83" s="242" t="n">
        <v>0</v>
      </c>
      <c r="M83" s="243"/>
      <c r="N83" s="243"/>
      <c r="O83" s="181"/>
      <c r="P83" s="244" t="s">
        <v>307</v>
      </c>
    </row>
    <row r="84" customFormat="false" ht="14.25" hidden="true" customHeight="false" outlineLevel="1" collapsed="false">
      <c r="A84" s="215" t="s">
        <v>308</v>
      </c>
      <c r="B84" s="130"/>
      <c r="C84" s="20" t="str">
        <f aca="false">DEC2HEX(D84,2)</f>
        <v>44</v>
      </c>
      <c r="D84" s="2" t="n">
        <f aca="false">IF(E84=1,128,0)+IF(F84=1,64,0)+IF(G84=1,32,0)+IF(H84=1,16,0)+IF(I84=1,8,0)+IF(J84=1,4,0)+IF(K84=1,2,0)+IF(L84=1,1,0)</f>
        <v>68</v>
      </c>
      <c r="E84" s="49" t="n">
        <v>0</v>
      </c>
      <c r="F84" s="107" t="n">
        <v>1</v>
      </c>
      <c r="G84" s="107" t="n">
        <v>0</v>
      </c>
      <c r="H84" s="50" t="n">
        <v>0</v>
      </c>
      <c r="I84" s="49" t="n">
        <v>0</v>
      </c>
      <c r="J84" s="107" t="n">
        <v>1</v>
      </c>
      <c r="K84" s="107" t="n">
        <v>0</v>
      </c>
      <c r="L84" s="50" t="n">
        <v>0</v>
      </c>
      <c r="M84" s="216"/>
      <c r="N84" s="216"/>
      <c r="O84" s="130"/>
      <c r="P84" s="218" t="s">
        <v>309</v>
      </c>
    </row>
    <row r="85" customFormat="false" ht="14.25" hidden="true" customHeight="false" outlineLevel="1" collapsed="false">
      <c r="A85" s="215" t="s">
        <v>310</v>
      </c>
      <c r="B85" s="248"/>
      <c r="C85" s="17" t="str">
        <f aca="false">DEC2HEX(D85,2)</f>
        <v>54</v>
      </c>
      <c r="D85" s="107" t="n">
        <f aca="false">IF(E85=1,128,0)+IF(F85=1,64,0)+IF(G85=1,32,0)+IF(H85=1,16,0)+IF(I85=1,8,0)+IF(J85=1,4,0)+IF(K85=1,2,0)+IF(L85=1,1,0)</f>
        <v>84</v>
      </c>
      <c r="E85" s="134" t="n">
        <v>0</v>
      </c>
      <c r="F85" s="107" t="n">
        <v>1</v>
      </c>
      <c r="G85" s="107" t="n">
        <v>0</v>
      </c>
      <c r="H85" s="129" t="n">
        <v>1</v>
      </c>
      <c r="I85" s="134" t="n">
        <v>0</v>
      </c>
      <c r="J85" s="107" t="n">
        <v>1</v>
      </c>
      <c r="K85" s="107" t="n">
        <v>0</v>
      </c>
      <c r="L85" s="129" t="n">
        <v>0</v>
      </c>
      <c r="M85" s="216"/>
      <c r="N85" s="216"/>
      <c r="O85" s="248"/>
      <c r="P85" s="218" t="s">
        <v>311</v>
      </c>
    </row>
    <row r="86" customFormat="false" ht="14.25" hidden="true" customHeight="false" outlineLevel="1" collapsed="false">
      <c r="A86" s="215" t="s">
        <v>312</v>
      </c>
      <c r="B86" s="248"/>
      <c r="C86" s="17" t="str">
        <f aca="false">DEC2HEX(D86,2)</f>
        <v>84</v>
      </c>
      <c r="D86" s="13" t="n">
        <f aca="false">IF(E86=1,128,0)+IF(F86=1,64,0)+IF(G86=1,32,0)+IF(H86=1,16,0)+IF(I86=1,8,0)+IF(J86=1,4,0)+IF(K86=1,2,0)+IF(L86=1,1,0)</f>
        <v>132</v>
      </c>
      <c r="E86" s="134" t="n">
        <v>1</v>
      </c>
      <c r="F86" s="107" t="n">
        <v>0</v>
      </c>
      <c r="G86" s="107" t="n">
        <v>0</v>
      </c>
      <c r="H86" s="129" t="n">
        <v>0</v>
      </c>
      <c r="I86" s="134" t="n">
        <v>0</v>
      </c>
      <c r="J86" s="107" t="n">
        <v>1</v>
      </c>
      <c r="K86" s="107" t="n">
        <v>0</v>
      </c>
      <c r="L86" s="129" t="n">
        <v>0</v>
      </c>
      <c r="M86" s="216"/>
      <c r="N86" s="216"/>
      <c r="O86" s="248"/>
      <c r="P86" s="218"/>
    </row>
    <row r="87" customFormat="false" ht="14.25" hidden="true" customHeight="false" outlineLevel="1" collapsed="false">
      <c r="A87" s="240" t="s">
        <v>313</v>
      </c>
      <c r="B87" s="181"/>
      <c r="C87" s="205" t="str">
        <f aca="false">DEC2HEX(D87,2)</f>
        <v>05</v>
      </c>
      <c r="D87" s="183" t="n">
        <f aca="false">IF(E87=1,128,0)+IF(F87=1,64,0)+IF(G87=1,32,0)+IF(H87=1,16,0)+IF(I87=1,8,0)+IF(J87=1,4,0)+IF(K87=1,2,0)+IF(L87=1,1,0)</f>
        <v>5</v>
      </c>
      <c r="E87" s="241" t="n">
        <v>0</v>
      </c>
      <c r="F87" s="195" t="n">
        <v>0</v>
      </c>
      <c r="G87" s="195" t="n">
        <v>0</v>
      </c>
      <c r="H87" s="242" t="n">
        <v>0</v>
      </c>
      <c r="I87" s="241" t="n">
        <v>0</v>
      </c>
      <c r="J87" s="195" t="n">
        <v>1</v>
      </c>
      <c r="K87" s="195" t="n">
        <v>0</v>
      </c>
      <c r="L87" s="242" t="n">
        <v>1</v>
      </c>
      <c r="M87" s="243"/>
      <c r="N87" s="243"/>
      <c r="O87" s="181"/>
      <c r="P87" s="244" t="s">
        <v>314</v>
      </c>
    </row>
    <row r="88" customFormat="false" ht="14.25" hidden="true" customHeight="false" outlineLevel="1" collapsed="false">
      <c r="A88" s="235" t="s">
        <v>315</v>
      </c>
      <c r="B88" s="238"/>
      <c r="C88" s="236" t="str">
        <f aca="false">DEC2HEX(D88,2)</f>
        <v>45</v>
      </c>
      <c r="D88" s="140" t="n">
        <f aca="false">IF(E88=1,128,0)+IF(F88=1,64,0)+IF(G88=1,32,0)+IF(H88=1,16,0)+IF(I88=1,8,0)+IF(J88=1,4,0)+IF(K88=1,2,0)+IF(L88=1,1,0)</f>
        <v>69</v>
      </c>
      <c r="E88" s="237" t="n">
        <v>0</v>
      </c>
      <c r="F88" s="140" t="n">
        <v>1</v>
      </c>
      <c r="G88" s="140" t="n">
        <v>0</v>
      </c>
      <c r="H88" s="143" t="n">
        <v>0</v>
      </c>
      <c r="I88" s="237" t="n">
        <v>0</v>
      </c>
      <c r="J88" s="140" t="n">
        <v>1</v>
      </c>
      <c r="K88" s="140" t="n">
        <v>0</v>
      </c>
      <c r="L88" s="143" t="n">
        <v>1</v>
      </c>
      <c r="M88" s="245"/>
      <c r="N88" s="245"/>
      <c r="O88" s="238"/>
      <c r="P88" s="246" t="s">
        <v>316</v>
      </c>
    </row>
    <row r="89" customFormat="false" ht="14.25" hidden="true" customHeight="false" outlineLevel="1" collapsed="false">
      <c r="A89" s="215" t="s">
        <v>317</v>
      </c>
      <c r="B89" s="130"/>
      <c r="C89" s="17" t="str">
        <f aca="false">DEC2HEX(D89,2)</f>
        <v>37</v>
      </c>
      <c r="D89" s="107" t="n">
        <f aca="false">IF(E89=1,128,0)+IF(F89=1,64,0)+IF(G89=1,32,0)+IF(H89=1,16,0)+IF(I89=1,8,0)+IF(J89=1,4,0)+IF(K89=1,2,0)+IF(L89=1,1,0)</f>
        <v>55</v>
      </c>
      <c r="E89" s="49" t="n">
        <v>0</v>
      </c>
      <c r="F89" s="107" t="n">
        <v>0</v>
      </c>
      <c r="G89" s="107" t="n">
        <v>1</v>
      </c>
      <c r="H89" s="50" t="n">
        <v>1</v>
      </c>
      <c r="I89" s="49" t="n">
        <v>0</v>
      </c>
      <c r="J89" s="107" t="n">
        <v>1</v>
      </c>
      <c r="K89" s="107" t="n">
        <v>1</v>
      </c>
      <c r="L89" s="50" t="n">
        <v>1</v>
      </c>
      <c r="M89" s="216"/>
      <c r="N89" s="216"/>
      <c r="O89" s="130"/>
      <c r="P89" s="218"/>
    </row>
    <row r="90" customFormat="false" ht="14.25" hidden="true" customHeight="false" outlineLevel="1" collapsed="false">
      <c r="A90" s="235" t="s">
        <v>318</v>
      </c>
      <c r="B90" s="238"/>
      <c r="C90" s="236" t="str">
        <f aca="false">DEC2HEX(D90,2)</f>
        <v>37</v>
      </c>
      <c r="D90" s="140" t="n">
        <f aca="false">IF(E90=1,128,0)+IF(F90=1,64,0)+IF(G90=1,32,0)+IF(H90=1,16,0)+IF(I90=1,8,0)+IF(J90=1,4,0)+IF(K90=1,2,0)+IF(L90=1,1,0)</f>
        <v>55</v>
      </c>
      <c r="E90" s="237" t="n">
        <v>0</v>
      </c>
      <c r="F90" s="140" t="n">
        <v>0</v>
      </c>
      <c r="G90" s="140" t="n">
        <v>1</v>
      </c>
      <c r="H90" s="143" t="n">
        <v>1</v>
      </c>
      <c r="I90" s="237" t="n">
        <v>0</v>
      </c>
      <c r="J90" s="140" t="n">
        <v>1</v>
      </c>
      <c r="K90" s="140" t="n">
        <v>1</v>
      </c>
      <c r="L90" s="143" t="n">
        <v>1</v>
      </c>
      <c r="M90" s="245"/>
      <c r="N90" s="245"/>
      <c r="O90" s="238"/>
      <c r="P90" s="246"/>
    </row>
    <row r="91" customFormat="false" ht="14.25" hidden="true" customHeight="false" outlineLevel="1" collapsed="false">
      <c r="A91" s="215"/>
      <c r="B91" s="130"/>
      <c r="C91" s="17" t="str">
        <f aca="false">DEC2HEX(D91,2)</f>
        <v>00</v>
      </c>
      <c r="D91" s="107" t="n">
        <f aca="false">IF(E91=1,128,0)+IF(F91=1,64,0)+IF(G91=1,32,0)+IF(H91=1,16,0)+IF(I91=1,8,0)+IF(J91=1,4,0)+IF(K91=1,2,0)+IF(L91=1,1,0)</f>
        <v>0</v>
      </c>
      <c r="E91" s="49"/>
      <c r="F91" s="107"/>
      <c r="G91" s="107"/>
      <c r="H91" s="50"/>
      <c r="I91" s="49"/>
      <c r="J91" s="107"/>
      <c r="K91" s="107"/>
      <c r="L91" s="50"/>
      <c r="M91" s="216"/>
      <c r="N91" s="216"/>
      <c r="O91" s="130"/>
      <c r="P91" s="218"/>
    </row>
    <row r="92" customFormat="false" ht="14.25" hidden="true" customHeight="false" outlineLevel="1" collapsed="false">
      <c r="A92" s="235"/>
      <c r="B92" s="238"/>
      <c r="C92" s="236" t="str">
        <f aca="false">DEC2HEX(D92,2)</f>
        <v>00</v>
      </c>
      <c r="D92" s="140" t="n">
        <f aca="false">IF(E92=1,128,0)+IF(F92=1,64,0)+IF(G92=1,32,0)+IF(H92=1,16,0)+IF(I92=1,8,0)+IF(J92=1,4,0)+IF(K92=1,2,0)+IF(L92=1,1,0)</f>
        <v>0</v>
      </c>
      <c r="E92" s="237"/>
      <c r="F92" s="140"/>
      <c r="G92" s="140"/>
      <c r="H92" s="143"/>
      <c r="I92" s="237"/>
      <c r="J92" s="140"/>
      <c r="K92" s="140"/>
      <c r="L92" s="143"/>
      <c r="M92" s="245"/>
      <c r="N92" s="245"/>
      <c r="O92" s="238"/>
      <c r="P92" s="246"/>
    </row>
    <row r="93" customFormat="false" ht="14.25" hidden="false" customHeight="false" outlineLevel="0" collapsed="false">
      <c r="B93" s="130"/>
    </row>
    <row r="94" customFormat="false" ht="14.25" hidden="false" customHeight="false" outlineLevel="0" collapsed="false">
      <c r="A94" s="6" t="s">
        <v>319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3"/>
      <c r="O94" s="249"/>
      <c r="P94" s="3"/>
    </row>
    <row r="95" customFormat="false" ht="14.25" hidden="false" customHeight="false" outlineLevel="0" collapsed="false">
      <c r="A95" s="6" t="s">
        <v>320</v>
      </c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P12" r:id="rId1" location="Basic_and_interchange_formats" display="https://en.wikipedia.org/wiki/IEEE_754#Basic_and_interchange_formats"/>
    <hyperlink ref="P40" r:id="rId2" location="Durations" display="https://en.wikipedia.org/wiki/ISO_8601#Durations"/>
    <hyperlink ref="P41" r:id="rId3" location="time" display="http://www.w3.org/TR/xmlschema-2/#time"/>
    <hyperlink ref="P42" r:id="rId4" location="date" display="http://www.w3.org/TR/xmlschema-2/#date"/>
    <hyperlink ref="P43" r:id="rId5" location="dateTime" display="http://www.w3.org/TR/xmlschema-2/#dateTime"/>
    <hyperlink ref="P56" r:id="rId6" display="https://learn.microsoft.com/en-us/office/vba/language/reference/user-interface-help/currency-data-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6" zoomScaleNormal="106" zoomScalePageLayoutView="100" workbookViewId="0">
      <selection pane="topLeft" activeCell="A1" activeCellId="0" sqref="A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6" min="1" style="1" width="11"/>
    <col collapsed="false" customWidth="true" hidden="false" outlineLevel="0" max="10" min="10" style="1" width="12.71"/>
  </cols>
  <sheetData>
    <row r="1" customFormat="false" ht="14.25" hidden="false" customHeight="false" outlineLevel="0" collapsed="false">
      <c r="A1" s="20" t="s">
        <v>227</v>
      </c>
      <c r="B1" s="20" t="s">
        <v>321</v>
      </c>
      <c r="C1" s="20" t="s">
        <v>50</v>
      </c>
      <c r="D1" s="20" t="s">
        <v>114</v>
      </c>
      <c r="E1" s="20" t="s">
        <v>116</v>
      </c>
      <c r="F1" s="20" t="s">
        <v>118</v>
      </c>
      <c r="G1" s="250" t="s">
        <v>322</v>
      </c>
      <c r="H1" s="250"/>
      <c r="I1" s="250"/>
      <c r="J1" s="250" t="s">
        <v>323</v>
      </c>
    </row>
    <row r="2" customFormat="false" ht="14.25" hidden="false" customHeight="false" outlineLevel="0" collapsed="false">
      <c r="A2" s="2" t="n">
        <v>0</v>
      </c>
      <c r="B2" s="2" t="n">
        <v>0</v>
      </c>
      <c r="C2" s="2" t="n">
        <v>0</v>
      </c>
      <c r="D2" s="2" t="s">
        <v>253</v>
      </c>
      <c r="E2" s="2" t="s">
        <v>324</v>
      </c>
      <c r="F2" s="2" t="s">
        <v>325</v>
      </c>
      <c r="G2" s="5" t="s">
        <v>118</v>
      </c>
      <c r="H2" s="5" t="s">
        <v>326</v>
      </c>
      <c r="I2" s="5"/>
      <c r="J2" s="5" t="s">
        <v>327</v>
      </c>
      <c r="K2" s="1" t="s">
        <v>328</v>
      </c>
    </row>
    <row r="3" customFormat="false" ht="14.25" hidden="false" customHeight="false" outlineLevel="0" collapsed="false">
      <c r="A3" s="2" t="n">
        <v>1</v>
      </c>
      <c r="B3" s="2" t="n">
        <v>0</v>
      </c>
      <c r="C3" s="2" t="n">
        <v>0</v>
      </c>
      <c r="D3" s="2" t="s">
        <v>253</v>
      </c>
      <c r="E3" s="2" t="s">
        <v>324</v>
      </c>
      <c r="F3" s="2" t="s">
        <v>329</v>
      </c>
      <c r="G3" s="5" t="s">
        <v>118</v>
      </c>
      <c r="H3" s="5" t="s">
        <v>109</v>
      </c>
      <c r="I3" s="5"/>
      <c r="J3" s="5" t="s">
        <v>327</v>
      </c>
      <c r="K3" s="1" t="s">
        <v>328</v>
      </c>
    </row>
    <row r="4" customFormat="false" ht="14.25" hidden="false" customHeight="false" outlineLevel="0" collapsed="false">
      <c r="A4" s="2" t="n">
        <v>0</v>
      </c>
      <c r="B4" s="2" t="n">
        <v>0</v>
      </c>
      <c r="C4" s="2" t="n">
        <v>1</v>
      </c>
      <c r="D4" s="2" t="n">
        <v>0</v>
      </c>
      <c r="E4" s="2" t="s">
        <v>330</v>
      </c>
      <c r="F4" s="2" t="s">
        <v>324</v>
      </c>
      <c r="G4" s="5" t="s">
        <v>331</v>
      </c>
      <c r="H4" s="5" t="s">
        <v>332</v>
      </c>
      <c r="I4" s="5" t="s">
        <v>333</v>
      </c>
      <c r="J4" s="1" t="s">
        <v>334</v>
      </c>
      <c r="K4" s="5" t="s">
        <v>335</v>
      </c>
    </row>
    <row r="5" customFormat="false" ht="14.25" hidden="false" customHeight="false" outlineLevel="0" collapsed="false">
      <c r="A5" s="2" t="n">
        <v>1</v>
      </c>
      <c r="B5" s="2" t="n">
        <v>0</v>
      </c>
      <c r="C5" s="2" t="n">
        <v>1</v>
      </c>
      <c r="D5" s="2" t="n">
        <v>0</v>
      </c>
      <c r="E5" s="2" t="s">
        <v>330</v>
      </c>
      <c r="F5" s="2" t="s">
        <v>324</v>
      </c>
      <c r="G5" s="5" t="s">
        <v>331</v>
      </c>
      <c r="H5" s="5" t="s">
        <v>332</v>
      </c>
      <c r="I5" s="5" t="s">
        <v>336</v>
      </c>
      <c r="J5" s="1" t="s">
        <v>334</v>
      </c>
      <c r="K5" s="5" t="s">
        <v>335</v>
      </c>
    </row>
    <row r="6" customFormat="false" ht="14.25" hidden="false" customHeight="false" outlineLevel="0" collapsed="false">
      <c r="A6" s="2" t="n">
        <v>0</v>
      </c>
      <c r="B6" s="2" t="n">
        <v>0</v>
      </c>
      <c r="C6" s="2" t="n">
        <v>1</v>
      </c>
      <c r="D6" s="2" t="s">
        <v>253</v>
      </c>
      <c r="E6" s="2" t="s">
        <v>330</v>
      </c>
      <c r="F6" s="2" t="s">
        <v>324</v>
      </c>
      <c r="G6" s="5" t="s">
        <v>331</v>
      </c>
      <c r="H6" s="5" t="s">
        <v>337</v>
      </c>
      <c r="I6" s="5" t="s">
        <v>333</v>
      </c>
      <c r="J6" s="1" t="s">
        <v>334</v>
      </c>
      <c r="K6" s="5" t="s">
        <v>335</v>
      </c>
    </row>
    <row r="7" customFormat="false" ht="14.25" hidden="false" customHeight="false" outlineLevel="0" collapsed="false">
      <c r="A7" s="2" t="n">
        <v>1</v>
      </c>
      <c r="B7" s="2" t="n">
        <v>0</v>
      </c>
      <c r="C7" s="2" t="n">
        <v>1</v>
      </c>
      <c r="D7" s="2" t="s">
        <v>253</v>
      </c>
      <c r="E7" s="2" t="s">
        <v>330</v>
      </c>
      <c r="F7" s="2" t="s">
        <v>324</v>
      </c>
      <c r="G7" s="5" t="s">
        <v>331</v>
      </c>
      <c r="H7" s="5" t="s">
        <v>337</v>
      </c>
      <c r="I7" s="5" t="s">
        <v>336</v>
      </c>
      <c r="J7" s="1" t="s">
        <v>334</v>
      </c>
      <c r="K7" s="5" t="s">
        <v>335</v>
      </c>
    </row>
    <row r="8" customFormat="false" ht="14.25" hidden="false" customHeight="false" outlineLevel="0" collapsed="false">
      <c r="A8" s="2" t="n">
        <v>0</v>
      </c>
      <c r="B8" s="2" t="n">
        <v>1</v>
      </c>
      <c r="C8" s="2" t="n">
        <v>0</v>
      </c>
      <c r="D8" s="2" t="s">
        <v>324</v>
      </c>
      <c r="E8" s="2" t="s">
        <v>330</v>
      </c>
      <c r="F8" s="2" t="s">
        <v>325</v>
      </c>
      <c r="G8" s="5" t="s">
        <v>118</v>
      </c>
      <c r="H8" s="5" t="s">
        <v>338</v>
      </c>
      <c r="I8" s="5"/>
      <c r="J8" s="1" t="s">
        <v>339</v>
      </c>
      <c r="K8" s="1" t="s">
        <v>340</v>
      </c>
    </row>
    <row r="9" customFormat="false" ht="14.25" hidden="false" customHeight="false" outlineLevel="0" collapsed="false">
      <c r="A9" s="2" t="n">
        <v>1</v>
      </c>
      <c r="B9" s="2" t="n">
        <v>1</v>
      </c>
      <c r="C9" s="2" t="n">
        <v>0</v>
      </c>
      <c r="D9" s="2" t="s">
        <v>324</v>
      </c>
      <c r="E9" s="2" t="s">
        <v>330</v>
      </c>
      <c r="F9" s="2" t="s">
        <v>325</v>
      </c>
      <c r="G9" s="5" t="s">
        <v>118</v>
      </c>
      <c r="H9" s="5" t="s">
        <v>111</v>
      </c>
      <c r="I9" s="5"/>
      <c r="J9" s="1" t="s">
        <v>339</v>
      </c>
      <c r="K9" s="1" t="s">
        <v>340</v>
      </c>
    </row>
    <row r="10" customFormat="false" ht="14.25" hidden="false" customHeight="false" outlineLevel="0" collapsed="false">
      <c r="A10" s="2" t="n">
        <v>0</v>
      </c>
      <c r="B10" s="2" t="n">
        <v>1</v>
      </c>
      <c r="C10" s="2" t="n">
        <v>1</v>
      </c>
      <c r="D10" s="2" t="s">
        <v>253</v>
      </c>
      <c r="E10" s="2" t="n">
        <v>0</v>
      </c>
      <c r="F10" s="2" t="s">
        <v>324</v>
      </c>
      <c r="G10" s="5" t="s">
        <v>331</v>
      </c>
      <c r="H10" s="5" t="s">
        <v>341</v>
      </c>
      <c r="I10" s="5" t="s">
        <v>333</v>
      </c>
      <c r="J10" s="1" t="s">
        <v>342</v>
      </c>
      <c r="K10" s="1" t="s">
        <v>343</v>
      </c>
    </row>
    <row r="11" customFormat="false" ht="14.25" hidden="false" customHeight="false" outlineLevel="0" collapsed="false">
      <c r="A11" s="2" t="n">
        <v>1</v>
      </c>
      <c r="B11" s="2" t="n">
        <v>1</v>
      </c>
      <c r="C11" s="2" t="n">
        <v>1</v>
      </c>
      <c r="D11" s="2" t="s">
        <v>253</v>
      </c>
      <c r="E11" s="2" t="n">
        <v>0</v>
      </c>
      <c r="F11" s="2" t="s">
        <v>324</v>
      </c>
      <c r="G11" s="5" t="s">
        <v>331</v>
      </c>
      <c r="H11" s="5" t="s">
        <v>341</v>
      </c>
      <c r="I11" s="5" t="s">
        <v>336</v>
      </c>
      <c r="J11" s="1" t="s">
        <v>342</v>
      </c>
      <c r="K11" s="1" t="s">
        <v>343</v>
      </c>
    </row>
    <row r="12" customFormat="false" ht="14.25" hidden="false" customHeight="false" outlineLevel="0" collapsed="false">
      <c r="A12" s="2" t="n">
        <v>0</v>
      </c>
      <c r="B12" s="2" t="n">
        <v>1</v>
      </c>
      <c r="C12" s="2" t="n">
        <v>1</v>
      </c>
      <c r="D12" s="2" t="s">
        <v>253</v>
      </c>
      <c r="E12" s="2" t="s">
        <v>330</v>
      </c>
      <c r="F12" s="2" t="s">
        <v>324</v>
      </c>
      <c r="G12" s="5" t="s">
        <v>331</v>
      </c>
      <c r="H12" s="5" t="s">
        <v>337</v>
      </c>
      <c r="I12" s="5" t="s">
        <v>333</v>
      </c>
      <c r="J12" s="1" t="s">
        <v>342</v>
      </c>
      <c r="K12" s="1" t="s">
        <v>343</v>
      </c>
    </row>
    <row r="13" customFormat="false" ht="14.25" hidden="false" customHeight="false" outlineLevel="0" collapsed="false">
      <c r="A13" s="2" t="n">
        <v>1</v>
      </c>
      <c r="B13" s="2" t="n">
        <v>1</v>
      </c>
      <c r="C13" s="2" t="n">
        <v>1</v>
      </c>
      <c r="D13" s="2" t="s">
        <v>253</v>
      </c>
      <c r="E13" s="2" t="s">
        <v>330</v>
      </c>
      <c r="F13" s="2" t="s">
        <v>324</v>
      </c>
      <c r="G13" s="5" t="s">
        <v>331</v>
      </c>
      <c r="H13" s="5" t="s">
        <v>337</v>
      </c>
      <c r="I13" s="5" t="s">
        <v>336</v>
      </c>
      <c r="J13" s="1" t="s">
        <v>342</v>
      </c>
      <c r="K13" s="1" t="s">
        <v>343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1758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en-AU</dc:language>
  <cp:lastModifiedBy/>
  <dcterms:modified xsi:type="dcterms:W3CDTF">2026-06-28T15:51:58Z</dcterms:modified>
  <cp:revision>73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AEA5A3A0D27F42AFBF98D19586720617_12</vt:lpwstr>
  </property>
  <property fmtid="{D5CDD505-2E9C-101B-9397-08002B2CF9AE}" pid="3" name="KSOProductBuildVer">
    <vt:lpwstr>1033-12.2.0.19805</vt:lpwstr>
  </property>
</Properties>
</file>